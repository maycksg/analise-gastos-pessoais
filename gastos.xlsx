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ck.gomes\Downloads\"/>
    </mc:Choice>
  </mc:AlternateContent>
  <xr:revisionPtr revIDLastSave="0" documentId="13_ncr:1_{E83F9299-4DAC-4C03-9582-1F85BAF86C4A}" xr6:coauthVersionLast="47" xr6:coauthVersionMax="47" xr10:uidLastSave="{00000000-0000-0000-0000-000000000000}"/>
  <bookViews>
    <workbookView xWindow="-120" yWindow="-120" windowWidth="38640" windowHeight="15720" firstSheet="1" activeTab="4" xr2:uid="{AABC43D3-7CFB-40A2-92F0-08E190517A95}"/>
  </bookViews>
  <sheets>
    <sheet name="Dados Brutos" sheetId="4" r:id="rId1"/>
    <sheet name="Dados Tratados" sheetId="1" r:id="rId2"/>
    <sheet name="Premissas e Logs" sheetId="5" r:id="rId3"/>
    <sheet name="Analises" sheetId="3" r:id="rId4"/>
    <sheet name="Conclusoes" sheetId="6" r:id="rId5"/>
  </sheets>
  <definedNames>
    <definedName name="_xlnm._FilterDatabase" localSheetId="1" hidden="1">'Dados Tratados'!$B$1:$E$103</definedName>
  </definedNames>
  <calcPr calcId="191029"/>
  <pivotCaches>
    <pivotCache cacheId="7" r:id="rId6"/>
    <pivotCache cacheId="11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F3" i="6" s="1"/>
  <c r="G3" i="6" s="1"/>
  <c r="G5" i="6" s="1"/>
  <c r="C6" i="6" a="1"/>
  <c r="C6" i="6" s="1"/>
  <c r="C5" i="6" a="1"/>
  <c r="C5" i="6" s="1"/>
  <c r="C3" i="6"/>
  <c r="C2" i="6"/>
  <c r="H6" i="5"/>
  <c r="H7" i="5"/>
  <c r="H8" i="5"/>
  <c r="H9" i="5"/>
  <c r="H10" i="5"/>
  <c r="H5" i="5"/>
  <c r="G2" i="6"/>
  <c r="A6" i="6"/>
  <c r="A7" i="6"/>
  <c r="A9" i="6"/>
  <c r="A8" i="6"/>
  <c r="A5" i="6"/>
  <c r="A4" i="6"/>
  <c r="A3" i="6"/>
  <c r="A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<sst xmlns="http://schemas.openxmlformats.org/spreadsheetml/2006/main" count="617" uniqueCount="64">
  <si>
    <t>Transporte</t>
  </si>
  <si>
    <t>Alimentação</t>
  </si>
  <si>
    <t>Mercado</t>
  </si>
  <si>
    <t>Moradia</t>
  </si>
  <si>
    <t>Aluguel</t>
  </si>
  <si>
    <t>Lazer</t>
  </si>
  <si>
    <t>Contas</t>
  </si>
  <si>
    <t>DATA</t>
  </si>
  <si>
    <t>CATEGORIA</t>
  </si>
  <si>
    <t>DESCRICAO</t>
  </si>
  <si>
    <t>VALOR</t>
  </si>
  <si>
    <t>RENDA MENSAL</t>
  </si>
  <si>
    <t>Soma de VALOR</t>
  </si>
  <si>
    <t>CATEGORIAS</t>
  </si>
  <si>
    <t>01/2025</t>
  </si>
  <si>
    <t>02/2025</t>
  </si>
  <si>
    <t>03/2025</t>
  </si>
  <si>
    <t>04/2025</t>
  </si>
  <si>
    <t>05/2025</t>
  </si>
  <si>
    <t>06/2025</t>
  </si>
  <si>
    <t>data</t>
  </si>
  <si>
    <t>categoria</t>
  </si>
  <si>
    <t>descricao</t>
  </si>
  <si>
    <t>valor</t>
  </si>
  <si>
    <t>Uber e combustível</t>
  </si>
  <si>
    <t>Saídas e streaming</t>
  </si>
  <si>
    <t>Energia e internet</t>
  </si>
  <si>
    <t>alimentacao</t>
  </si>
  <si>
    <t>LAZER</t>
  </si>
  <si>
    <t xml:space="preserve">Transporte </t>
  </si>
  <si>
    <t>lazer</t>
  </si>
  <si>
    <t>Uber e Combustível</t>
  </si>
  <si>
    <t>Removido da Analise pois não possui valor</t>
  </si>
  <si>
    <t>Removidos da analise pois eram duplicidades</t>
  </si>
  <si>
    <t>MÊS</t>
  </si>
  <si>
    <t>RESERVA</t>
  </si>
  <si>
    <t>Total Geral</t>
  </si>
  <si>
    <t>LOGS</t>
  </si>
  <si>
    <t>PREMISSAS</t>
  </si>
  <si>
    <t>TABELAS</t>
  </si>
  <si>
    <t>GRAFICOS</t>
  </si>
  <si>
    <t>Descrição em branco em 13/03 preenchida como 'Uber e Combustível', por inferência da categoria Transporte.</t>
  </si>
  <si>
    <t>VALORES ALTERADOS</t>
  </si>
  <si>
    <t>Conclusões</t>
  </si>
  <si>
    <t>09/02/2025, R$ 37,81: categoria alterada de Transporte para Lazer (descrição "Saídas e streaming").</t>
  </si>
  <si>
    <t>26/02/2025, R$ 22,33: categoria alterada de Lazer para Transporte (descrição "Uber e combustível").</t>
  </si>
  <si>
    <t>Metas Desafiadoras</t>
  </si>
  <si>
    <t>São metas desafiadoras mas alcançáveis pois já houve meses com valores abaixo dos propostos.</t>
  </si>
  <si>
    <t>Cenário</t>
  </si>
  <si>
    <t>Hoje</t>
  </si>
  <si>
    <t>Economia no período</t>
  </si>
  <si>
    <t>-</t>
  </si>
  <si>
    <t>Por mês</t>
  </si>
  <si>
    <t>Poupança média</t>
  </si>
  <si>
    <t>Diferença na poupança</t>
  </si>
  <si>
    <t>Lazer 350 + Transporte 200</t>
  </si>
  <si>
    <t>Metas</t>
  </si>
  <si>
    <t>Saídas e Streaming</t>
  </si>
  <si>
    <t>Energia e Internet</t>
  </si>
  <si>
    <t>Mês</t>
  </si>
  <si>
    <t>Valores Categorias por mês</t>
  </si>
  <si>
    <t>Total por mês</t>
  </si>
  <si>
    <t>Total por Categoria</t>
  </si>
  <si>
    <t>Reserva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</si>
</sst>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10" xfId="0" applyNumberFormat="1" applyBorder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0" fontId="0" fillId="34" borderId="11" xfId="0" applyFill="1" applyBorder="1"/>
    <xf numFmtId="0" fontId="0" fillId="34" borderId="10" xfId="0" applyFill="1" applyBorder="1"/>
    <xf numFmtId="0" fontId="20" fillId="0" borderId="0" xfId="0" applyFont="1"/>
    <xf numFmtId="0" fontId="21" fillId="35" borderId="0" xfId="0" applyFont="1" applyFill="1"/>
    <xf numFmtId="44" fontId="21" fillId="35" borderId="0" xfId="42" applyFont="1" applyFill="1"/>
    <xf numFmtId="44" fontId="0" fillId="0" borderId="0" xfId="42" applyFont="1"/>
    <xf numFmtId="0" fontId="21" fillId="35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3" xfId="0" applyNumberFormat="1" applyBorder="1"/>
    <xf numFmtId="14" fontId="0" fillId="0" borderId="12" xfId="0" applyNumberFormat="1" applyBorder="1"/>
    <xf numFmtId="0" fontId="0" fillId="0" borderId="15" xfId="0" applyBorder="1"/>
    <xf numFmtId="14" fontId="0" fillId="0" borderId="16" xfId="0" applyNumberFormat="1" applyBorder="1"/>
    <xf numFmtId="0" fontId="0" fillId="0" borderId="17" xfId="0" applyBorder="1"/>
    <xf numFmtId="0" fontId="0" fillId="0" borderId="14" xfId="0" applyBorder="1"/>
    <xf numFmtId="2" fontId="0" fillId="0" borderId="15" xfId="0" applyNumberFormat="1" applyBorder="1"/>
    <xf numFmtId="0" fontId="22" fillId="0" borderId="20" xfId="0" applyFont="1" applyBorder="1" applyAlignment="1">
      <alignment horizontal="center"/>
    </xf>
    <xf numFmtId="0" fontId="22" fillId="0" borderId="21" xfId="0" applyFont="1" applyBorder="1"/>
    <xf numFmtId="0" fontId="22" fillId="0" borderId="0" xfId="0" applyFont="1"/>
    <xf numFmtId="0" fontId="22" fillId="0" borderId="18" xfId="0" applyFont="1" applyBorder="1"/>
    <xf numFmtId="0" fontId="22" fillId="0" borderId="10" xfId="0" applyFont="1" applyBorder="1"/>
    <xf numFmtId="0" fontId="22" fillId="0" borderId="13" xfId="0" applyFont="1" applyBorder="1"/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19" fillId="3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44" fontId="0" fillId="0" borderId="12" xfId="42" applyFont="1" applyBorder="1"/>
    <xf numFmtId="44" fontId="0" fillId="34" borderId="11" xfId="42" applyFont="1" applyFill="1" applyBorder="1"/>
    <xf numFmtId="44" fontId="0" fillId="0" borderId="0" xfId="0" applyNumberFormat="1"/>
    <xf numFmtId="0" fontId="22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0" xfId="0" applyBorder="1"/>
    <xf numFmtId="10" fontId="0" fillId="0" borderId="11" xfId="43" applyNumberFormat="1" applyFont="1" applyBorder="1"/>
    <xf numFmtId="44" fontId="0" fillId="0" borderId="0" xfId="42" applyFont="1" applyBorder="1"/>
    <xf numFmtId="0" fontId="6" fillId="2" borderId="0" xfId="6" applyBorder="1"/>
    <xf numFmtId="10" fontId="6" fillId="2" borderId="11" xfId="6" applyNumberFormat="1" applyBorder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[gastos.xlsx]Analises!Tabela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Analises!$A$3:$A$8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Analises!$B$3:$B$8</c:f>
              <c:numCache>
                <c:formatCode>"R$"\ #,##0.00</c:formatCode>
                <c:ptCount val="6"/>
                <c:pt idx="0">
                  <c:v>2827.95</c:v>
                </c:pt>
                <c:pt idx="1">
                  <c:v>2740.7499999999995</c:v>
                </c:pt>
                <c:pt idx="2">
                  <c:v>2910.8999999999996</c:v>
                </c:pt>
                <c:pt idx="3">
                  <c:v>2991.5600000000009</c:v>
                </c:pt>
                <c:pt idx="4">
                  <c:v>2774.4399999999996</c:v>
                </c:pt>
                <c:pt idx="5">
                  <c:v>2902.829999999999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8-4232-88BD-8BCC5863A9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axId val="1907885567"/>
        <c:axId val="2013926928"/>
      </c:barChart>
      <c:catAx>
        <c:axId val="190788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3926928"/>
        <c:crosses val="autoZero"/>
        <c:auto val="1"/>
        <c:lblAlgn val="ctr"/>
        <c:lblOffset val="100"/>
        <c:noMultiLvlLbl val="0"/>
      </c:catAx>
      <c:valAx>
        <c:axId val="2013926928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90788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[gastos.xlsx]Analises!Tabela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Analises!$D$3:$D$7</c:f>
              <c:strCache>
                <c:ptCount val="5"/>
                <c:pt idx="0">
                  <c:v>Alimentação</c:v>
                </c:pt>
                <c:pt idx="1">
                  <c:v>Contas</c:v>
                </c:pt>
                <c:pt idx="2">
                  <c:v>Lazer</c:v>
                </c:pt>
                <c:pt idx="3">
                  <c:v>Moradia</c:v>
                </c:pt>
                <c:pt idx="4">
                  <c:v>Transporte</c:v>
                </c:pt>
              </c:strCache>
            </c:strRef>
          </c:cat>
          <c:val>
            <c:numRef>
              <c:f>Analises!$E$3:$E$7</c:f>
              <c:numCache>
                <c:formatCode>"R$"\ #,##0.00</c:formatCode>
                <c:ptCount val="5"/>
                <c:pt idx="0">
                  <c:v>4323.01</c:v>
                </c:pt>
                <c:pt idx="1">
                  <c:v>1574.68</c:v>
                </c:pt>
                <c:pt idx="2">
                  <c:v>2417.0299999999997</c:v>
                </c:pt>
                <c:pt idx="3">
                  <c:v>7200</c:v>
                </c:pt>
                <c:pt idx="4">
                  <c:v>1633.71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2-42DC-A124-1A609EC291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axId val="1387079344"/>
        <c:axId val="2013869328"/>
      </c:barChart>
      <c:catAx>
        <c:axId val="13870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3869328"/>
        <c:crosses val="autoZero"/>
        <c:auto val="1"/>
        <c:lblAlgn val="ctr"/>
        <c:lblOffset val="100"/>
        <c:noMultiLvlLbl val="0"/>
      </c:catAx>
      <c:valAx>
        <c:axId val="2013869328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3870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[gastos.xlsx]Analises!Tabela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097046413502109E-2"/>
          <c:y val="0.18334308562512192"/>
          <c:w val="0.82895701759949747"/>
          <c:h val="0.73367796550299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Analises!$B$10:$B$11</c:f>
              <c:strCache>
                <c:ptCount val="1"/>
                <c:pt idx="0">
                  <c:v>Alimentação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Analises!$A$12:$A$17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Analises!$B$12:$B$17</c:f>
              <c:numCache>
                <c:formatCode>_("R$"* #,##0.00_);_("R$"* \(#,##0.00\);_("R$"* "-"??_);_(@_)</c:formatCode>
                <c:ptCount val="6"/>
                <c:pt idx="0">
                  <c:v>821.23</c:v>
                </c:pt>
                <c:pt idx="1">
                  <c:v>745.95999999999992</c:v>
                </c:pt>
                <c:pt idx="2">
                  <c:v>725.43000000000006</c:v>
                </c:pt>
                <c:pt idx="3">
                  <c:v>619.89</c:v>
                </c:pt>
                <c:pt idx="4">
                  <c:v>654.04</c:v>
                </c:pt>
                <c:pt idx="5">
                  <c:v>756.45999999999992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1-4A0F-B7DC-A9B0CFE15D5A}"/>
            </c:ext>
          </c:extLst>
        </c:ser>
        <c:ser>
          <c:idx val="1"/>
          <c:order val="1"/>
          <c:tx>
            <c:strRef>
              <c:f>Analises!$C$10:$C$11</c:f>
              <c:strCache>
                <c:ptCount val="1"/>
                <c:pt idx="0">
                  <c:v>Contas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Analises!$A$12:$A$17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Analises!$C$12:$C$17</c:f>
              <c:numCache>
                <c:formatCode>_("R$"* #,##0.00_);_("R$"* \(#,##0.00\);_("R$"* "-"??_);_(@_)</c:formatCode>
                <c:ptCount val="6"/>
                <c:pt idx="0">
                  <c:v>257.45</c:v>
                </c:pt>
                <c:pt idx="1">
                  <c:v>233.95</c:v>
                </c:pt>
                <c:pt idx="2">
                  <c:v>310.93</c:v>
                </c:pt>
                <c:pt idx="3">
                  <c:v>249.63</c:v>
                </c:pt>
                <c:pt idx="4">
                  <c:v>292.17</c:v>
                </c:pt>
                <c:pt idx="5">
                  <c:v>230.55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1-4A0F-B7DC-A9B0CFE15D5A}"/>
            </c:ext>
          </c:extLst>
        </c:ser>
        <c:ser>
          <c:idx val="2"/>
          <c:order val="2"/>
          <c:tx>
            <c:strRef>
              <c:f>Analises!$D$10:$D$11</c:f>
              <c:strCache>
                <c:ptCount val="1"/>
                <c:pt idx="0">
                  <c:v>Lazer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Analises!$A$12:$A$17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Analises!$D$12:$D$17</c:f>
              <c:numCache>
                <c:formatCode>_("R$"* #,##0.00_);_("R$"* \(#,##0.00\);_("R$"* "-"??_);_(@_)</c:formatCode>
                <c:ptCount val="6"/>
                <c:pt idx="0">
                  <c:v>388.65000000000003</c:v>
                </c:pt>
                <c:pt idx="1">
                  <c:v>419.78999999999996</c:v>
                </c:pt>
                <c:pt idx="2">
                  <c:v>354.37</c:v>
                </c:pt>
                <c:pt idx="3">
                  <c:v>551.91999999999996</c:v>
                </c:pt>
                <c:pt idx="4">
                  <c:v>342.43999999999994</c:v>
                </c:pt>
                <c:pt idx="5">
                  <c:v>359.86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1-4A0F-B7DC-A9B0CFE15D5A}"/>
            </c:ext>
          </c:extLst>
        </c:ser>
        <c:ser>
          <c:idx val="3"/>
          <c:order val="3"/>
          <c:tx>
            <c:strRef>
              <c:f>Analises!$E$10:$E$11</c:f>
              <c:strCache>
                <c:ptCount val="1"/>
                <c:pt idx="0">
                  <c:v>Moradia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Analises!$A$12:$A$17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Analises!$E$12:$E$17</c:f>
              <c:numCache>
                <c:formatCode>_("R$"* #,##0.00_);_("R$"* \(#,##0.00\);_("R$"* "-"??_);_(@_)</c:formatCode>
                <c:ptCount val="6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31-4A0F-B7DC-A9B0CFE15D5A}"/>
            </c:ext>
          </c:extLst>
        </c:ser>
        <c:ser>
          <c:idx val="4"/>
          <c:order val="4"/>
          <c:tx>
            <c:strRef>
              <c:f>Analises!$F$10:$F$11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Analises!$A$12:$A$17</c:f>
              <c:strCache>
                <c:ptCount val="6"/>
                <c:pt idx="0">
                  <c:v>01/2025</c:v>
                </c:pt>
                <c:pt idx="1">
                  <c:v>02/2025</c:v>
                </c:pt>
                <c:pt idx="2">
                  <c:v>03/2025</c:v>
                </c:pt>
                <c:pt idx="3">
                  <c:v>04/2025</c:v>
                </c:pt>
                <c:pt idx="4">
                  <c:v>05/2025</c:v>
                </c:pt>
                <c:pt idx="5">
                  <c:v>06/2025</c:v>
                </c:pt>
              </c:strCache>
            </c:strRef>
          </c:cat>
          <c:val>
            <c:numRef>
              <c:f>Analises!$F$12:$F$17</c:f>
              <c:numCache>
                <c:formatCode>_("R$"* #,##0.00_);_("R$"* \(#,##0.00\);_("R$"* "-"??_);_(@_)</c:formatCode>
                <c:ptCount val="6"/>
                <c:pt idx="0">
                  <c:v>160.62</c:v>
                </c:pt>
                <c:pt idx="1">
                  <c:v>141.04999999999998</c:v>
                </c:pt>
                <c:pt idx="2">
                  <c:v>320.16999999999996</c:v>
                </c:pt>
                <c:pt idx="3">
                  <c:v>370.12</c:v>
                </c:pt>
                <c:pt idx="4">
                  <c:v>285.79000000000002</c:v>
                </c:pt>
                <c:pt idx="5">
                  <c:v>355.96000000000004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31-4A0F-B7DC-A9B0CFE15D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2036703"/>
        <c:axId val="2013880848"/>
      </c:barChart>
      <c:catAx>
        <c:axId val="194203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3880848"/>
        <c:crosses val="autoZero"/>
        <c:auto val="1"/>
        <c:lblAlgn val="ctr"/>
        <c:lblOffset val="100"/>
        <c:noMultiLvlLbl val="0"/>
      </c:catAx>
      <c:valAx>
        <c:axId val="201388084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4203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7619</xdr:colOff>
      <xdr:row>1</xdr:row>
      <xdr:rowOff>19050</xdr:rowOff>
    </xdr:from>
    <xdr:to>
      <xdr:col>15</xdr:col>
      <xdr:colOff>645794</xdr:colOff>
      <xdr:row>17</xdr:row>
      <xdr:rowOff>93345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0DA4E1-D4D5-CB2B-446F-B7C76FCDE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102870</xdr:colOff>
      <xdr:row>1</xdr:row>
      <xdr:rowOff>19050</xdr:rowOff>
    </xdr:from>
    <xdr:to>
      <xdr:col>23</xdr:col>
      <xdr:colOff>331470</xdr:colOff>
      <xdr:row>17</xdr:row>
      <xdr:rowOff>89534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0EF2CB-B80C-C792-FFFF-8C6411B32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645795</xdr:colOff>
      <xdr:row>17</xdr:row>
      <xdr:rowOff>87630</xdr:rowOff>
    </xdr:from>
    <xdr:to>
      <xdr:col>20</xdr:col>
      <xdr:colOff>409575</xdr:colOff>
      <xdr:row>34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308FA6-2510-4278-8F2B-8B19A1C04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0.28222</cdr:x>
      <cdr:y>0.0316</cdr:y>
    </cdr:from>
    <cdr:to>
      <cdr:x>0.62313</cdr:x>
      <cdr:y>0.31246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91EBE6C-CBCC-3670-AF65-99C0A0075650}"/>
            </a:ext>
          </a:extLst>
        </cdr:cNvPr>
        <cdr:cNvSpPr txBox="1"/>
      </cdr:nvSpPr>
      <cdr:spPr>
        <a:xfrm xmlns:a="http://schemas.openxmlformats.org/drawingml/2006/main">
          <a:off x="1868804" y="102870"/>
          <a:ext cx="22574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 kern="1200"/>
            <a:t>GASTO</a:t>
          </a:r>
          <a:r>
            <a:rPr lang="pt-BR" sz="1600" kern="1200" baseline="0"/>
            <a:t> DE CATEGORIA POR MÊS</a:t>
          </a:r>
          <a:endParaRPr lang="pt-BR" sz="16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ck Gomes" refreshedDate="46302.699184837962" createdVersion="8" refreshedVersion="8" minRefreshableVersion="3" recordCount="102" xr:uid="{AFB48513-B006-42B4-B146-ACFBB9113D12}">
  <cacheSource type="worksheet">
    <worksheetSource ref="B1:E103" sheet="Dados Tratados"/>
  </cacheSource>
  <cacheFields count="4">
    <cacheField name="MÊS" numFmtId="14">
      <sharedItems count="6">
        <s v="01/2025"/>
        <s v="02/2025"/>
        <s v="03/2025"/>
        <s v="04/2025"/>
        <s v="05/2025"/>
        <s v="06/2025"/>
      </sharedItems>
    </cacheField>
    <cacheField name="CATEGORIA" numFmtId="0">
      <sharedItems count="5">
        <s v="Transporte"/>
        <s v="Alimentação"/>
        <s v="Moradia"/>
        <s v="Lazer"/>
        <s v="Contas"/>
      </sharedItems>
    </cacheField>
    <cacheField name="DESCRICAO" numFmtId="0">
      <sharedItems/>
    </cacheField>
    <cacheField name="VALOR" numFmtId="44">
      <sharedItems containsSemiMixedTypes="0" containsString="0" containsNumber="1" minValue="16.73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ck Gomes" refreshedDate="46302.699185532409" createdVersion="8" refreshedVersion="8" minRefreshableVersion="3" recordCount="6" xr:uid="{43958BF3-82B9-4DF4-97C5-67A88419F6A6}">
  <cacheSource type="worksheet">
    <worksheetSource ref="G4:H10" sheet="Premissas e Logs"/>
  </cacheSource>
  <cacheFields count="2">
    <cacheField name="MÊS" numFmtId="14">
      <sharedItems count="6">
        <s v="01/2025"/>
        <s v="02/2025"/>
        <s v="03/2025"/>
        <s v="04/2025"/>
        <s v="05/2025"/>
        <s v="06/2025"/>
      </sharedItems>
    </cacheField>
    <cacheField name="RESERVA" numFmtId="44">
      <sharedItems containsSemiMixedTypes="0" containsString="0" containsNumber="1" minValue="1008.4399999999991" maxValue="1259.25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ck Gomes" refreshedDate="46302.699185879632" createdVersion="8" refreshedVersion="8" minRefreshableVersion="3" recordCount="102" xr:uid="{F049E83E-7F62-450E-89EC-DE88BFC5BA95}">
  <cacheSource type="worksheet">
    <worksheetSource ref="A1:E103" sheet="Dados Tratados"/>
  </cacheSource>
  <cacheFields count="5">
    <cacheField name="DATA" numFmtId="14">
      <sharedItems containsSemiMixedTypes="0" containsNonDate="0" containsDate="1" containsString="0" minDate="2025-01-02T00:00:00" maxDate="2025-06-28T00:00:00"/>
    </cacheField>
    <cacheField name="MÊS" numFmtId="14">
      <sharedItems count="6">
        <s v="01/2025"/>
        <s v="02/2025"/>
        <s v="03/2025"/>
        <s v="04/2025"/>
        <s v="05/2025"/>
        <s v="06/2025"/>
      </sharedItems>
    </cacheField>
    <cacheField name="CATEGORIA" numFmtId="0">
      <sharedItems count="5">
        <s v="Transporte"/>
        <s v="Alimentação"/>
        <s v="Moradia"/>
        <s v="Lazer"/>
        <s v="Contas"/>
      </sharedItems>
    </cacheField>
    <cacheField name="DESCRICAO" numFmtId="0">
      <sharedItems count="5">
        <s v="Uber e Combustível"/>
        <s v="Mercado"/>
        <s v="Aluguel"/>
        <s v="Saídas e Streaming"/>
        <s v="Energia e Internet"/>
      </sharedItems>
    </cacheField>
    <cacheField name="VALOR" numFmtId="44">
      <sharedItems containsSemiMixedTypes="0" containsString="0" containsNumber="1" minValue="16.73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s v="Uber e Combustível"/>
    <n v="28.64"/>
  </r>
  <r>
    <x v="0"/>
    <x v="1"/>
    <s v="Mercado"/>
    <n v="253.1"/>
  </r>
  <r>
    <x v="0"/>
    <x v="2"/>
    <s v="Aluguel"/>
    <n v="1200"/>
  </r>
  <r>
    <x v="0"/>
    <x v="3"/>
    <s v="Saídas e Streaming"/>
    <n v="114.97"/>
  </r>
  <r>
    <x v="0"/>
    <x v="4"/>
    <s v="Energia e Internet"/>
    <n v="257.45"/>
  </r>
  <r>
    <x v="0"/>
    <x v="1"/>
    <s v="Mercado"/>
    <n v="222.48"/>
  </r>
  <r>
    <x v="0"/>
    <x v="0"/>
    <s v="Uber e Combustível"/>
    <n v="16.73"/>
  </r>
  <r>
    <x v="0"/>
    <x v="1"/>
    <s v="Mercado"/>
    <n v="203.81"/>
  </r>
  <r>
    <x v="0"/>
    <x v="3"/>
    <s v="Saídas e Streaming"/>
    <n v="36.770000000000003"/>
  </r>
  <r>
    <x v="0"/>
    <x v="3"/>
    <s v="Saídas e Streaming"/>
    <n v="36.97"/>
  </r>
  <r>
    <x v="0"/>
    <x v="3"/>
    <s v="Saídas e Streaming"/>
    <n v="129.88999999999999"/>
  </r>
  <r>
    <x v="0"/>
    <x v="3"/>
    <s v="Saídas e Streaming"/>
    <n v="70.05"/>
  </r>
  <r>
    <x v="0"/>
    <x v="1"/>
    <s v="Mercado"/>
    <n v="141.84"/>
  </r>
  <r>
    <x v="0"/>
    <x v="0"/>
    <s v="Uber e Combustível"/>
    <n v="54.36"/>
  </r>
  <r>
    <x v="0"/>
    <x v="0"/>
    <s v="Uber e Combustível"/>
    <n v="60.89"/>
  </r>
  <r>
    <x v="1"/>
    <x v="1"/>
    <s v="Mercado"/>
    <n v="160.9"/>
  </r>
  <r>
    <x v="1"/>
    <x v="3"/>
    <s v="Saídas e Streaming"/>
    <n v="143.06"/>
  </r>
  <r>
    <x v="1"/>
    <x v="2"/>
    <s v="Aluguel"/>
    <n v="1200"/>
  </r>
  <r>
    <x v="1"/>
    <x v="0"/>
    <s v="Uber e Combustível"/>
    <n v="17.579999999999998"/>
  </r>
  <r>
    <x v="1"/>
    <x v="3"/>
    <s v="Saídas e Streaming"/>
    <n v="37.81"/>
  </r>
  <r>
    <x v="1"/>
    <x v="4"/>
    <s v="Energia e Internet"/>
    <n v="233.95"/>
  </r>
  <r>
    <x v="1"/>
    <x v="1"/>
    <s v="Mercado"/>
    <n v="171.29"/>
  </r>
  <r>
    <x v="1"/>
    <x v="3"/>
    <s v="Saídas e Streaming"/>
    <n v="91.71"/>
  </r>
  <r>
    <x v="1"/>
    <x v="1"/>
    <s v="Mercado"/>
    <n v="183.85"/>
  </r>
  <r>
    <x v="1"/>
    <x v="0"/>
    <s v="Uber e Combustível"/>
    <n v="43.91"/>
  </r>
  <r>
    <x v="1"/>
    <x v="3"/>
    <s v="Saídas e Streaming"/>
    <n v="111.64"/>
  </r>
  <r>
    <x v="1"/>
    <x v="0"/>
    <s v="Uber e Combustível"/>
    <n v="33.08"/>
  </r>
  <r>
    <x v="1"/>
    <x v="1"/>
    <s v="Mercado"/>
    <n v="229.92"/>
  </r>
  <r>
    <x v="1"/>
    <x v="3"/>
    <s v="Saídas e Streaming"/>
    <n v="35.57"/>
  </r>
  <r>
    <x v="1"/>
    <x v="0"/>
    <s v="Uber e Combustível"/>
    <n v="22.33"/>
  </r>
  <r>
    <x v="1"/>
    <x v="0"/>
    <s v="Uber e Combustível"/>
    <n v="24.15"/>
  </r>
  <r>
    <x v="2"/>
    <x v="3"/>
    <s v="Saídas e Streaming"/>
    <n v="77.42"/>
  </r>
  <r>
    <x v="2"/>
    <x v="1"/>
    <s v="Mercado"/>
    <n v="156.22999999999999"/>
  </r>
  <r>
    <x v="2"/>
    <x v="3"/>
    <s v="Saídas e Streaming"/>
    <n v="52.18"/>
  </r>
  <r>
    <x v="2"/>
    <x v="3"/>
    <s v="Saídas e Streaming"/>
    <n v="101.75"/>
  </r>
  <r>
    <x v="2"/>
    <x v="2"/>
    <s v="Aluguel"/>
    <n v="1200"/>
  </r>
  <r>
    <x v="2"/>
    <x v="0"/>
    <s v="Uber e Combustível"/>
    <n v="78.34"/>
  </r>
  <r>
    <x v="2"/>
    <x v="1"/>
    <s v="Mercado"/>
    <n v="212.75"/>
  </r>
  <r>
    <x v="2"/>
    <x v="4"/>
    <s v="Energia e Internet"/>
    <n v="310.93"/>
  </r>
  <r>
    <x v="2"/>
    <x v="0"/>
    <s v="Uber e Combustível"/>
    <n v="35.35"/>
  </r>
  <r>
    <x v="2"/>
    <x v="0"/>
    <s v="Uber e Combustível"/>
    <n v="21.64"/>
  </r>
  <r>
    <x v="2"/>
    <x v="1"/>
    <s v="Mercado"/>
    <n v="163.63999999999999"/>
  </r>
  <r>
    <x v="2"/>
    <x v="3"/>
    <s v="Saídas e Streaming"/>
    <n v="123.02"/>
  </r>
  <r>
    <x v="2"/>
    <x v="0"/>
    <s v="Uber e Combustível"/>
    <n v="59.01"/>
  </r>
  <r>
    <x v="2"/>
    <x v="0"/>
    <s v="Uber e Combustível"/>
    <n v="54.06"/>
  </r>
  <r>
    <x v="2"/>
    <x v="1"/>
    <s v="Mercado"/>
    <n v="192.81"/>
  </r>
  <r>
    <x v="2"/>
    <x v="0"/>
    <s v="Uber e Combustível"/>
    <n v="36.07"/>
  </r>
  <r>
    <x v="2"/>
    <x v="0"/>
    <s v="Uber e Combustível"/>
    <n v="35.700000000000003"/>
  </r>
  <r>
    <x v="3"/>
    <x v="0"/>
    <s v="Uber e Combustível"/>
    <n v="23.97"/>
  </r>
  <r>
    <x v="3"/>
    <x v="3"/>
    <s v="Saídas e Streaming"/>
    <n v="124.82"/>
  </r>
  <r>
    <x v="3"/>
    <x v="1"/>
    <s v="Mercado"/>
    <n v="143.13999999999999"/>
  </r>
  <r>
    <x v="3"/>
    <x v="2"/>
    <s v="Aluguel"/>
    <n v="1200"/>
  </r>
  <r>
    <x v="3"/>
    <x v="3"/>
    <s v="Saídas e Streaming"/>
    <n v="108.13"/>
  </r>
  <r>
    <x v="3"/>
    <x v="4"/>
    <s v="Energia e Internet"/>
    <n v="249.63"/>
  </r>
  <r>
    <x v="3"/>
    <x v="1"/>
    <s v="Mercado"/>
    <n v="122.19"/>
  </r>
  <r>
    <x v="3"/>
    <x v="0"/>
    <s v="Uber e Combustível"/>
    <n v="39.82"/>
  </r>
  <r>
    <x v="3"/>
    <x v="0"/>
    <s v="Uber e Combustível"/>
    <n v="62.82"/>
  </r>
  <r>
    <x v="3"/>
    <x v="0"/>
    <s v="Uber e Combustível"/>
    <n v="78.67"/>
  </r>
  <r>
    <x v="3"/>
    <x v="0"/>
    <s v="Uber e Combustível"/>
    <n v="42.81"/>
  </r>
  <r>
    <x v="3"/>
    <x v="1"/>
    <s v="Mercado"/>
    <n v="179.28"/>
  </r>
  <r>
    <x v="3"/>
    <x v="3"/>
    <s v="Saídas e Streaming"/>
    <n v="114.82"/>
  </r>
  <r>
    <x v="3"/>
    <x v="1"/>
    <s v="Mercado"/>
    <n v="175.28"/>
  </r>
  <r>
    <x v="3"/>
    <x v="3"/>
    <s v="Saídas e Streaming"/>
    <n v="31.69"/>
  </r>
  <r>
    <x v="3"/>
    <x v="0"/>
    <s v="Uber e Combustível"/>
    <n v="64.94"/>
  </r>
  <r>
    <x v="3"/>
    <x v="3"/>
    <s v="Saídas e Streaming"/>
    <n v="38.89"/>
  </r>
  <r>
    <x v="3"/>
    <x v="0"/>
    <s v="Uber e Combustível"/>
    <n v="57.09"/>
  </r>
  <r>
    <x v="3"/>
    <x v="3"/>
    <s v="Saídas e Streaming"/>
    <n v="133.57"/>
  </r>
  <r>
    <x v="4"/>
    <x v="1"/>
    <s v="Mercado"/>
    <n v="153.04"/>
  </r>
  <r>
    <x v="4"/>
    <x v="3"/>
    <s v="Saídas e Streaming"/>
    <n v="138.91"/>
  </r>
  <r>
    <x v="4"/>
    <x v="2"/>
    <s v="Aluguel"/>
    <n v="1200"/>
  </r>
  <r>
    <x v="4"/>
    <x v="0"/>
    <s v="Uber e Combustível"/>
    <n v="45.78"/>
  </r>
  <r>
    <x v="4"/>
    <x v="3"/>
    <s v="Saídas e Streaming"/>
    <n v="87.04"/>
  </r>
  <r>
    <x v="4"/>
    <x v="1"/>
    <s v="Mercado"/>
    <n v="155.85"/>
  </r>
  <r>
    <x v="4"/>
    <x v="3"/>
    <s v="Saídas e Streaming"/>
    <n v="82.72"/>
  </r>
  <r>
    <x v="4"/>
    <x v="4"/>
    <s v="Energia e Internet"/>
    <n v="292.17"/>
  </r>
  <r>
    <x v="4"/>
    <x v="0"/>
    <s v="Uber e Combustível"/>
    <n v="30.23"/>
  </r>
  <r>
    <x v="4"/>
    <x v="0"/>
    <s v="Uber e Combustível"/>
    <n v="20.77"/>
  </r>
  <r>
    <x v="4"/>
    <x v="0"/>
    <s v="Uber e Combustível"/>
    <n v="37.17"/>
  </r>
  <r>
    <x v="4"/>
    <x v="1"/>
    <s v="Mercado"/>
    <n v="125.66"/>
  </r>
  <r>
    <x v="4"/>
    <x v="3"/>
    <s v="Saídas e Streaming"/>
    <n v="33.770000000000003"/>
  </r>
  <r>
    <x v="4"/>
    <x v="1"/>
    <s v="Mercado"/>
    <n v="219.49"/>
  </r>
  <r>
    <x v="4"/>
    <x v="0"/>
    <s v="Uber e Combustível"/>
    <n v="67.11"/>
  </r>
  <r>
    <x v="4"/>
    <x v="0"/>
    <s v="Uber e Combustível"/>
    <n v="84.73"/>
  </r>
  <r>
    <x v="5"/>
    <x v="3"/>
    <s v="Saídas e Streaming"/>
    <n v="62.66"/>
  </r>
  <r>
    <x v="5"/>
    <x v="3"/>
    <s v="Saídas e Streaming"/>
    <n v="30.83"/>
  </r>
  <r>
    <x v="5"/>
    <x v="1"/>
    <s v="Mercado"/>
    <n v="183.91"/>
  </r>
  <r>
    <x v="5"/>
    <x v="0"/>
    <s v="Uber e Combustível"/>
    <n v="66.930000000000007"/>
  </r>
  <r>
    <x v="5"/>
    <x v="2"/>
    <s v="Aluguel"/>
    <n v="1200"/>
  </r>
  <r>
    <x v="5"/>
    <x v="0"/>
    <s v="Uber e Combustível"/>
    <n v="40.32"/>
  </r>
  <r>
    <x v="5"/>
    <x v="4"/>
    <s v="Energia e Internet"/>
    <n v="230.55"/>
  </r>
  <r>
    <x v="5"/>
    <x v="1"/>
    <s v="Mercado"/>
    <n v="150.58000000000001"/>
  </r>
  <r>
    <x v="5"/>
    <x v="0"/>
    <s v="Uber e Combustível"/>
    <n v="27.62"/>
  </r>
  <r>
    <x v="5"/>
    <x v="0"/>
    <s v="Uber e Combustível"/>
    <n v="19.87"/>
  </r>
  <r>
    <x v="5"/>
    <x v="1"/>
    <s v="Mercado"/>
    <n v="178.31"/>
  </r>
  <r>
    <x v="5"/>
    <x v="3"/>
    <s v="Saídas e Streaming"/>
    <n v="72.31"/>
  </r>
  <r>
    <x v="5"/>
    <x v="1"/>
    <s v="Mercado"/>
    <n v="243.66"/>
  </r>
  <r>
    <x v="5"/>
    <x v="0"/>
    <s v="Uber e Combustível"/>
    <n v="67.73"/>
  </r>
  <r>
    <x v="5"/>
    <x v="3"/>
    <s v="Saídas e Streaming"/>
    <n v="68.16"/>
  </r>
  <r>
    <x v="5"/>
    <x v="3"/>
    <s v="Saídas e Streaming"/>
    <n v="44.65"/>
  </r>
  <r>
    <x v="5"/>
    <x v="0"/>
    <s v="Uber e Combustível"/>
    <n v="87.18"/>
  </r>
  <r>
    <x v="5"/>
    <x v="3"/>
    <s v="Saídas e Streaming"/>
    <n v="81.25"/>
  </r>
  <r>
    <x v="5"/>
    <x v="0"/>
    <s v="Uber e Combustível"/>
    <n v="46.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172.0500000000002"/>
  </r>
  <r>
    <x v="1"/>
    <n v="1259.2500000000005"/>
  </r>
  <r>
    <x v="2"/>
    <n v="1089.1000000000004"/>
  </r>
  <r>
    <x v="3"/>
    <n v="1008.4399999999991"/>
  </r>
  <r>
    <x v="4"/>
    <n v="1225.5600000000004"/>
  </r>
  <r>
    <x v="5"/>
    <n v="1097.17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d v="2025-01-02T00:00:00"/>
    <x v="0"/>
    <x v="0"/>
    <x v="0"/>
    <n v="28.64"/>
  </r>
  <r>
    <d v="2025-01-03T00:00:00"/>
    <x v="0"/>
    <x v="1"/>
    <x v="1"/>
    <n v="253.1"/>
  </r>
  <r>
    <d v="2025-01-05T00:00:00"/>
    <x v="0"/>
    <x v="2"/>
    <x v="2"/>
    <n v="1200"/>
  </r>
  <r>
    <d v="2025-01-08T00:00:00"/>
    <x v="0"/>
    <x v="3"/>
    <x v="3"/>
    <n v="114.97"/>
  </r>
  <r>
    <d v="2025-01-10T00:00:00"/>
    <x v="0"/>
    <x v="4"/>
    <x v="4"/>
    <n v="257.45"/>
  </r>
  <r>
    <d v="2025-01-10T00:00:00"/>
    <x v="0"/>
    <x v="1"/>
    <x v="1"/>
    <n v="222.48"/>
  </r>
  <r>
    <d v="2025-01-12T00:00:00"/>
    <x v="0"/>
    <x v="0"/>
    <x v="0"/>
    <n v="16.73"/>
  </r>
  <r>
    <d v="2025-01-17T00:00:00"/>
    <x v="0"/>
    <x v="1"/>
    <x v="1"/>
    <n v="203.81"/>
  </r>
  <r>
    <d v="2025-01-22T00:00:00"/>
    <x v="0"/>
    <x v="3"/>
    <x v="3"/>
    <n v="36.770000000000003"/>
  </r>
  <r>
    <d v="2025-01-23T00:00:00"/>
    <x v="0"/>
    <x v="3"/>
    <x v="3"/>
    <n v="36.97"/>
  </r>
  <r>
    <d v="2025-01-24T00:00:00"/>
    <x v="0"/>
    <x v="3"/>
    <x v="3"/>
    <n v="129.88999999999999"/>
  </r>
  <r>
    <d v="2025-01-24T00:00:00"/>
    <x v="0"/>
    <x v="3"/>
    <x v="3"/>
    <n v="70.05"/>
  </r>
  <r>
    <d v="2025-01-24T00:00:00"/>
    <x v="0"/>
    <x v="1"/>
    <x v="1"/>
    <n v="141.84"/>
  </r>
  <r>
    <d v="2025-01-26T00:00:00"/>
    <x v="0"/>
    <x v="0"/>
    <x v="0"/>
    <n v="54.36"/>
  </r>
  <r>
    <d v="2025-01-27T00:00:00"/>
    <x v="0"/>
    <x v="0"/>
    <x v="0"/>
    <n v="60.89"/>
  </r>
  <r>
    <d v="2025-02-03T00:00:00"/>
    <x v="1"/>
    <x v="1"/>
    <x v="1"/>
    <n v="160.9"/>
  </r>
  <r>
    <d v="2025-02-04T00:00:00"/>
    <x v="1"/>
    <x v="3"/>
    <x v="3"/>
    <n v="143.06"/>
  </r>
  <r>
    <d v="2025-02-05T00:00:00"/>
    <x v="1"/>
    <x v="2"/>
    <x v="2"/>
    <n v="1200"/>
  </r>
  <r>
    <d v="2025-02-08T00:00:00"/>
    <x v="1"/>
    <x v="0"/>
    <x v="0"/>
    <n v="17.579999999999998"/>
  </r>
  <r>
    <d v="2025-02-09T00:00:00"/>
    <x v="1"/>
    <x v="3"/>
    <x v="3"/>
    <n v="37.81"/>
  </r>
  <r>
    <d v="2025-02-10T00:00:00"/>
    <x v="1"/>
    <x v="4"/>
    <x v="4"/>
    <n v="233.95"/>
  </r>
  <r>
    <d v="2025-02-10T00:00:00"/>
    <x v="1"/>
    <x v="1"/>
    <x v="1"/>
    <n v="171.29"/>
  </r>
  <r>
    <d v="2025-02-12T00:00:00"/>
    <x v="1"/>
    <x v="3"/>
    <x v="3"/>
    <n v="91.71"/>
  </r>
  <r>
    <d v="2025-02-17T00:00:00"/>
    <x v="1"/>
    <x v="1"/>
    <x v="1"/>
    <n v="183.85"/>
  </r>
  <r>
    <d v="2025-02-18T00:00:00"/>
    <x v="1"/>
    <x v="0"/>
    <x v="0"/>
    <n v="43.91"/>
  </r>
  <r>
    <d v="2025-02-19T00:00:00"/>
    <x v="1"/>
    <x v="3"/>
    <x v="3"/>
    <n v="111.64"/>
  </r>
  <r>
    <d v="2025-02-20T00:00:00"/>
    <x v="1"/>
    <x v="0"/>
    <x v="0"/>
    <n v="33.08"/>
  </r>
  <r>
    <d v="2025-02-24T00:00:00"/>
    <x v="1"/>
    <x v="1"/>
    <x v="1"/>
    <n v="229.92"/>
  </r>
  <r>
    <d v="2025-02-25T00:00:00"/>
    <x v="1"/>
    <x v="3"/>
    <x v="3"/>
    <n v="35.57"/>
  </r>
  <r>
    <d v="2025-02-26T00:00:00"/>
    <x v="1"/>
    <x v="0"/>
    <x v="0"/>
    <n v="22.33"/>
  </r>
  <r>
    <d v="2025-02-28T00:00:00"/>
    <x v="1"/>
    <x v="0"/>
    <x v="0"/>
    <n v="24.15"/>
  </r>
  <r>
    <d v="2025-03-02T00:00:00"/>
    <x v="2"/>
    <x v="3"/>
    <x v="3"/>
    <n v="77.42"/>
  </r>
  <r>
    <d v="2025-03-03T00:00:00"/>
    <x v="2"/>
    <x v="1"/>
    <x v="1"/>
    <n v="156.22999999999999"/>
  </r>
  <r>
    <d v="2025-03-04T00:00:00"/>
    <x v="2"/>
    <x v="3"/>
    <x v="3"/>
    <n v="52.18"/>
  </r>
  <r>
    <d v="2025-03-04T00:00:00"/>
    <x v="2"/>
    <x v="3"/>
    <x v="3"/>
    <n v="101.75"/>
  </r>
  <r>
    <d v="2025-03-05T00:00:00"/>
    <x v="2"/>
    <x v="2"/>
    <x v="2"/>
    <n v="1200"/>
  </r>
  <r>
    <d v="2025-03-08T00:00:00"/>
    <x v="2"/>
    <x v="0"/>
    <x v="0"/>
    <n v="78.34"/>
  </r>
  <r>
    <d v="2025-03-10T00:00:00"/>
    <x v="2"/>
    <x v="1"/>
    <x v="1"/>
    <n v="212.75"/>
  </r>
  <r>
    <d v="2025-03-10T00:00:00"/>
    <x v="2"/>
    <x v="4"/>
    <x v="4"/>
    <n v="310.93"/>
  </r>
  <r>
    <d v="2025-03-13T00:00:00"/>
    <x v="2"/>
    <x v="0"/>
    <x v="0"/>
    <n v="35.35"/>
  </r>
  <r>
    <d v="2025-03-15T00:00:00"/>
    <x v="2"/>
    <x v="0"/>
    <x v="0"/>
    <n v="21.64"/>
  </r>
  <r>
    <d v="2025-03-17T00:00:00"/>
    <x v="2"/>
    <x v="1"/>
    <x v="1"/>
    <n v="163.63999999999999"/>
  </r>
  <r>
    <d v="2025-03-18T00:00:00"/>
    <x v="2"/>
    <x v="3"/>
    <x v="3"/>
    <n v="123.02"/>
  </r>
  <r>
    <d v="2025-03-21T00:00:00"/>
    <x v="2"/>
    <x v="0"/>
    <x v="0"/>
    <n v="59.01"/>
  </r>
  <r>
    <d v="2025-03-23T00:00:00"/>
    <x v="2"/>
    <x v="0"/>
    <x v="0"/>
    <n v="54.06"/>
  </r>
  <r>
    <d v="2025-03-24T00:00:00"/>
    <x v="2"/>
    <x v="1"/>
    <x v="1"/>
    <n v="192.81"/>
  </r>
  <r>
    <d v="2025-03-25T00:00:00"/>
    <x v="2"/>
    <x v="0"/>
    <x v="0"/>
    <n v="36.07"/>
  </r>
  <r>
    <d v="2025-03-28T00:00:00"/>
    <x v="2"/>
    <x v="0"/>
    <x v="0"/>
    <n v="35.700000000000003"/>
  </r>
  <r>
    <d v="2025-04-03T00:00:00"/>
    <x v="3"/>
    <x v="0"/>
    <x v="0"/>
    <n v="23.97"/>
  </r>
  <r>
    <d v="2025-04-03T00:00:00"/>
    <x v="3"/>
    <x v="3"/>
    <x v="3"/>
    <n v="124.82"/>
  </r>
  <r>
    <d v="2025-04-03T00:00:00"/>
    <x v="3"/>
    <x v="1"/>
    <x v="1"/>
    <n v="143.13999999999999"/>
  </r>
  <r>
    <d v="2025-04-05T00:00:00"/>
    <x v="3"/>
    <x v="2"/>
    <x v="2"/>
    <n v="1200"/>
  </r>
  <r>
    <d v="2025-04-07T00:00:00"/>
    <x v="3"/>
    <x v="3"/>
    <x v="3"/>
    <n v="108.13"/>
  </r>
  <r>
    <d v="2025-04-10T00:00:00"/>
    <x v="3"/>
    <x v="4"/>
    <x v="4"/>
    <n v="249.63"/>
  </r>
  <r>
    <d v="2025-04-10T00:00:00"/>
    <x v="3"/>
    <x v="1"/>
    <x v="1"/>
    <n v="122.19"/>
  </r>
  <r>
    <d v="2025-04-12T00:00:00"/>
    <x v="3"/>
    <x v="0"/>
    <x v="0"/>
    <n v="39.82"/>
  </r>
  <r>
    <d v="2025-04-12T00:00:00"/>
    <x v="3"/>
    <x v="0"/>
    <x v="0"/>
    <n v="62.82"/>
  </r>
  <r>
    <d v="2025-04-14T00:00:00"/>
    <x v="3"/>
    <x v="0"/>
    <x v="0"/>
    <n v="78.67"/>
  </r>
  <r>
    <d v="2025-04-16T00:00:00"/>
    <x v="3"/>
    <x v="0"/>
    <x v="0"/>
    <n v="42.81"/>
  </r>
  <r>
    <d v="2025-04-17T00:00:00"/>
    <x v="3"/>
    <x v="1"/>
    <x v="1"/>
    <n v="179.28"/>
  </r>
  <r>
    <d v="2025-04-19T00:00:00"/>
    <x v="3"/>
    <x v="3"/>
    <x v="3"/>
    <n v="114.82"/>
  </r>
  <r>
    <d v="2025-04-24T00:00:00"/>
    <x v="3"/>
    <x v="1"/>
    <x v="1"/>
    <n v="175.28"/>
  </r>
  <r>
    <d v="2025-04-24T00:00:00"/>
    <x v="3"/>
    <x v="3"/>
    <x v="3"/>
    <n v="31.69"/>
  </r>
  <r>
    <d v="2025-04-24T00:00:00"/>
    <x v="3"/>
    <x v="0"/>
    <x v="0"/>
    <n v="64.94"/>
  </r>
  <r>
    <d v="2025-04-27T00:00:00"/>
    <x v="3"/>
    <x v="3"/>
    <x v="3"/>
    <n v="38.89"/>
  </r>
  <r>
    <d v="2025-04-27T00:00:00"/>
    <x v="3"/>
    <x v="0"/>
    <x v="0"/>
    <n v="57.09"/>
  </r>
  <r>
    <d v="2025-04-28T00:00:00"/>
    <x v="3"/>
    <x v="3"/>
    <x v="3"/>
    <n v="133.57"/>
  </r>
  <r>
    <d v="2025-05-03T00:00:00"/>
    <x v="4"/>
    <x v="1"/>
    <x v="1"/>
    <n v="153.04"/>
  </r>
  <r>
    <d v="2025-05-04T00:00:00"/>
    <x v="4"/>
    <x v="3"/>
    <x v="3"/>
    <n v="138.91"/>
  </r>
  <r>
    <d v="2025-05-05T00:00:00"/>
    <x v="4"/>
    <x v="2"/>
    <x v="2"/>
    <n v="1200"/>
  </r>
  <r>
    <d v="2025-05-07T00:00:00"/>
    <x v="4"/>
    <x v="0"/>
    <x v="0"/>
    <n v="45.78"/>
  </r>
  <r>
    <d v="2025-05-07T00:00:00"/>
    <x v="4"/>
    <x v="3"/>
    <x v="3"/>
    <n v="87.04"/>
  </r>
  <r>
    <d v="2025-05-10T00:00:00"/>
    <x v="4"/>
    <x v="1"/>
    <x v="1"/>
    <n v="155.85"/>
  </r>
  <r>
    <d v="2025-05-10T00:00:00"/>
    <x v="4"/>
    <x v="3"/>
    <x v="3"/>
    <n v="82.72"/>
  </r>
  <r>
    <d v="2025-05-10T00:00:00"/>
    <x v="4"/>
    <x v="4"/>
    <x v="4"/>
    <n v="292.17"/>
  </r>
  <r>
    <d v="2025-05-11T00:00:00"/>
    <x v="4"/>
    <x v="0"/>
    <x v="0"/>
    <n v="30.23"/>
  </r>
  <r>
    <d v="2025-05-13T00:00:00"/>
    <x v="4"/>
    <x v="0"/>
    <x v="0"/>
    <n v="20.77"/>
  </r>
  <r>
    <d v="2025-05-13T00:00:00"/>
    <x v="4"/>
    <x v="0"/>
    <x v="0"/>
    <n v="37.17"/>
  </r>
  <r>
    <d v="2025-05-17T00:00:00"/>
    <x v="4"/>
    <x v="1"/>
    <x v="1"/>
    <n v="125.66"/>
  </r>
  <r>
    <d v="2025-05-19T00:00:00"/>
    <x v="4"/>
    <x v="3"/>
    <x v="3"/>
    <n v="33.770000000000003"/>
  </r>
  <r>
    <d v="2025-05-24T00:00:00"/>
    <x v="4"/>
    <x v="1"/>
    <x v="1"/>
    <n v="219.49"/>
  </r>
  <r>
    <d v="2025-05-27T00:00:00"/>
    <x v="4"/>
    <x v="0"/>
    <x v="0"/>
    <n v="67.11"/>
  </r>
  <r>
    <d v="2025-05-28T00:00:00"/>
    <x v="4"/>
    <x v="0"/>
    <x v="0"/>
    <n v="84.73"/>
  </r>
  <r>
    <d v="2025-06-01T00:00:00"/>
    <x v="5"/>
    <x v="3"/>
    <x v="3"/>
    <n v="62.66"/>
  </r>
  <r>
    <d v="2025-06-03T00:00:00"/>
    <x v="5"/>
    <x v="3"/>
    <x v="3"/>
    <n v="30.83"/>
  </r>
  <r>
    <d v="2025-06-03T00:00:00"/>
    <x v="5"/>
    <x v="1"/>
    <x v="1"/>
    <n v="183.91"/>
  </r>
  <r>
    <d v="2025-06-05T00:00:00"/>
    <x v="5"/>
    <x v="0"/>
    <x v="0"/>
    <n v="66.930000000000007"/>
  </r>
  <r>
    <d v="2025-06-05T00:00:00"/>
    <x v="5"/>
    <x v="2"/>
    <x v="2"/>
    <n v="1200"/>
  </r>
  <r>
    <d v="2025-06-10T00:00:00"/>
    <x v="5"/>
    <x v="0"/>
    <x v="0"/>
    <n v="40.32"/>
  </r>
  <r>
    <d v="2025-06-10T00:00:00"/>
    <x v="5"/>
    <x v="4"/>
    <x v="4"/>
    <n v="230.55"/>
  </r>
  <r>
    <d v="2025-06-10T00:00:00"/>
    <x v="5"/>
    <x v="1"/>
    <x v="1"/>
    <n v="150.58000000000001"/>
  </r>
  <r>
    <d v="2025-06-15T00:00:00"/>
    <x v="5"/>
    <x v="0"/>
    <x v="0"/>
    <n v="27.62"/>
  </r>
  <r>
    <d v="2025-06-17T00:00:00"/>
    <x v="5"/>
    <x v="0"/>
    <x v="0"/>
    <n v="19.87"/>
  </r>
  <r>
    <d v="2025-06-17T00:00:00"/>
    <x v="5"/>
    <x v="1"/>
    <x v="1"/>
    <n v="178.31"/>
  </r>
  <r>
    <d v="2025-06-20T00:00:00"/>
    <x v="5"/>
    <x v="3"/>
    <x v="3"/>
    <n v="72.31"/>
  </r>
  <r>
    <d v="2025-06-24T00:00:00"/>
    <x v="5"/>
    <x v="1"/>
    <x v="1"/>
    <n v="243.66"/>
  </r>
  <r>
    <d v="2025-06-24T00:00:00"/>
    <x v="5"/>
    <x v="0"/>
    <x v="0"/>
    <n v="67.73"/>
  </r>
  <r>
    <d v="2025-06-25T00:00:00"/>
    <x v="5"/>
    <x v="3"/>
    <x v="3"/>
    <n v="68.16"/>
  </r>
  <r>
    <d v="2025-06-26T00:00:00"/>
    <x v="5"/>
    <x v="3"/>
    <x v="3"/>
    <n v="44.65"/>
  </r>
  <r>
    <d v="2025-06-26T00:00:00"/>
    <x v="5"/>
    <x v="0"/>
    <x v="0"/>
    <n v="87.18"/>
  </r>
  <r>
    <d v="2025-06-27T00:00:00"/>
    <x v="5"/>
    <x v="3"/>
    <x v="3"/>
    <n v="81.25"/>
  </r>
  <r>
    <d v="2025-06-27T00:00:00"/>
    <x v="5"/>
    <x v="0"/>
    <x v="0"/>
    <n v="46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1D5A5-FF29-437E-9BB5-D4E9DCB15B83}" name="Tabela dinâmica2" cacheId="17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showHeaders="0" compact="0" compactData="0" multipleFieldFilters="0">
  <location ref="A27:H34" firstHeaderRow="1" firstDataRow="2" firstDataCol="2"/>
  <pivotFields count="5">
    <pivotField compact="0" numFmtId="14" outline="0" showAll="0" defaultSubtotal="0"/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1"/>
        <item x="4"/>
        <item x="3"/>
        <item x="2"/>
        <item x="0"/>
      </items>
    </pivotField>
    <pivotField axis="axisRow" compact="0" outline="0" showAll="0" defaultSubtotal="0">
      <items count="5">
        <item x="2"/>
        <item x="4"/>
        <item x="1"/>
        <item x="3"/>
        <item x="0"/>
      </items>
    </pivotField>
    <pivotField dataField="1" compact="0" numFmtId="2" outline="0" showAll="0" defaultSubtotal="0"/>
  </pivotFields>
  <rowFields count="2">
    <field x="2"/>
    <field x="3"/>
  </rowFields>
  <rowItems count="6">
    <i>
      <x/>
      <x v="2"/>
    </i>
    <i>
      <x v="1"/>
      <x v="1"/>
    </i>
    <i>
      <x v="2"/>
      <x v="3"/>
    </i>
    <i>
      <x v="3"/>
      <x/>
    </i>
    <i>
      <x v="4"/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4" baseField="0" baseItem="0" numFmtId="44"/>
  </dataFields>
  <formats count="5">
    <format dxfId="58">
      <pivotArea outline="0" fieldPosition="0">
        <references count="2">
          <reference field="2" count="1" selected="0">
            <x v="4"/>
          </reference>
          <reference field="3" count="1" selected="0">
            <x v="3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4"/>
          </reference>
          <reference field="3" count="1">
            <x v="3"/>
          </reference>
        </references>
      </pivotArea>
    </format>
    <format dxfId="56">
      <pivotArea outline="0" fieldPosition="0">
        <references count="2">
          <reference field="2" count="1" selected="0">
            <x v="2"/>
          </reference>
          <reference field="3" count="1" selected="0">
            <x v="4"/>
          </reference>
        </references>
      </pivotArea>
    </format>
    <format dxfId="55">
      <pivotArea dataOnly="0" labelOnly="1" outline="0" fieldPosition="0">
        <references count="2">
          <reference field="2" count="1" selected="0">
            <x v="2"/>
          </reference>
          <reference field="3" count="1">
            <x v="4"/>
          </reference>
        </references>
      </pivotArea>
    </format>
    <format dxfId="45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0A035-0667-4F23-A24D-467C178C43D8}" name="Tabela dinâmica1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5" rowHeaderCaption="Mês">
  <location ref="A2:B8" firstHeaderRow="1" firstDataRow="1" firstDataCol="1"/>
  <pivotFields count="4">
    <pivotField axis="axisRow" subtotalTop="0"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dataField="1" numFmtId="2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por mês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0714F-9253-4443-B434-1DB680BBC3E3}" name="Tabela dinâmica4" cacheId="7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showHeaders="0" outline="1" outlineData="1" multipleFieldFilters="0" chartFormat="6" rowHeaderCaption="Mês">
  <location ref="A10:F17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1"/>
        <item x="4"/>
        <item x="3"/>
        <item x="2"/>
        <item x="0"/>
        <item t="default"/>
      </items>
    </pivotField>
    <pivotField showAll="0"/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Valores Categorias por mês" fld="3" baseField="0" baseItem="0" numFmtId="44"/>
  </dataFields>
  <formats count="1">
    <format dxfId="44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42733-5E6B-475C-B27F-54BA9655D83F}" name="Tabela dinâmica3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3" rowHeaderCaption="CATEGORIAS">
  <location ref="D2:E7" firstHeaderRow="1" firstDataRow="1" firstDataCol="1"/>
  <pivotFields count="4"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por Categoria" fld="3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FE9A9-3324-4F71-8F37-B3B38A04704A}" name="Tabela dinâmica5" cacheId="1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Mês">
  <location ref="A19:B25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Reserva Mensal" fld="1" baseField="0" baseItem="0" numFmtId="44"/>
  </dataFields>
  <formats count="1">
    <format dxfId="50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5A064-F85D-4A7D-99FA-8C05075ECEB5}" name="Tabela1" displayName="Tabela1" ref="A1:E103" totalsRowShown="0" headerRowDxfId="61">
  <autoFilter ref="A1:E103" xr:uid="{5985A064-F85D-4A7D-99FA-8C05075ECEB5}"/>
  <tableColumns count="5">
    <tableColumn id="1" xr3:uid="{22E80A01-C837-493E-9557-D4F682E16833}" name="DATA" dataDxfId="60"/>
    <tableColumn id="2" xr3:uid="{628F3FDC-FAB2-4579-987E-847EA369ACF8}" name="MÊS" dataDxfId="59"/>
    <tableColumn id="3" xr3:uid="{2F26B5BF-F98A-4A3C-97A8-83CF469A8F3A}" name="CATEGORIA"/>
    <tableColumn id="4" xr3:uid="{03229A2F-EAE9-4491-96C2-2C8B241566E7}" name="DESCRICAO"/>
    <tableColumn id="5" xr3:uid="{7BE07E4C-241A-4F77-B6D6-30B1736579B7}" name="VALOR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71E6-2A4D-4600-9AD9-CB0998330746}">
  <dimension ref="A1:D106"/>
  <sheetViews>
    <sheetView showGridLines="0" workbookViewId="0">
      <selection activeCell="H14" sqref="H14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3" width="17.42578125" bestFit="1" customWidth="1"/>
    <col min="4" max="4" width="7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s="1">
        <v>45659</v>
      </c>
      <c r="B2" t="s">
        <v>0</v>
      </c>
      <c r="C2" t="s">
        <v>24</v>
      </c>
      <c r="D2">
        <v>28.64</v>
      </c>
    </row>
    <row r="3" spans="1:4" x14ac:dyDescent="0.25">
      <c r="A3" s="1">
        <v>45660</v>
      </c>
      <c r="B3" t="s">
        <v>1</v>
      </c>
      <c r="C3" t="s">
        <v>2</v>
      </c>
      <c r="D3">
        <v>253.1</v>
      </c>
    </row>
    <row r="4" spans="1:4" x14ac:dyDescent="0.25">
      <c r="A4" s="1">
        <v>45662</v>
      </c>
      <c r="B4" t="s">
        <v>3</v>
      </c>
      <c r="C4" t="s">
        <v>4</v>
      </c>
      <c r="D4">
        <v>1200</v>
      </c>
    </row>
    <row r="5" spans="1:4" x14ac:dyDescent="0.25">
      <c r="A5" s="1">
        <v>45665</v>
      </c>
      <c r="B5" t="s">
        <v>5</v>
      </c>
      <c r="C5" t="s">
        <v>25</v>
      </c>
      <c r="D5">
        <v>114.97</v>
      </c>
    </row>
    <row r="6" spans="1:4" x14ac:dyDescent="0.25">
      <c r="A6" s="1">
        <v>45667</v>
      </c>
      <c r="B6" t="s">
        <v>6</v>
      </c>
      <c r="C6" t="s">
        <v>26</v>
      </c>
      <c r="D6">
        <v>257.45</v>
      </c>
    </row>
    <row r="7" spans="1:4" x14ac:dyDescent="0.25">
      <c r="A7" s="1">
        <v>45667</v>
      </c>
      <c r="B7" t="s">
        <v>27</v>
      </c>
      <c r="C7" t="s">
        <v>2</v>
      </c>
      <c r="D7">
        <v>222.48</v>
      </c>
    </row>
    <row r="8" spans="1:4" x14ac:dyDescent="0.25">
      <c r="A8" s="1">
        <v>45669</v>
      </c>
      <c r="B8" t="s">
        <v>0</v>
      </c>
      <c r="C8" t="s">
        <v>24</v>
      </c>
      <c r="D8">
        <v>16.73</v>
      </c>
    </row>
    <row r="9" spans="1:4" x14ac:dyDescent="0.25">
      <c r="A9" s="1">
        <v>45674</v>
      </c>
      <c r="B9" t="s">
        <v>1</v>
      </c>
      <c r="C9" t="s">
        <v>2</v>
      </c>
      <c r="D9">
        <v>203.81</v>
      </c>
    </row>
    <row r="10" spans="1:4" x14ac:dyDescent="0.25">
      <c r="A10" s="1">
        <v>45678</v>
      </c>
      <c r="B10" t="s">
        <v>0</v>
      </c>
      <c r="C10" t="s">
        <v>24</v>
      </c>
    </row>
    <row r="11" spans="1:4" x14ac:dyDescent="0.25">
      <c r="A11" s="1">
        <v>45679</v>
      </c>
      <c r="B11" t="s">
        <v>5</v>
      </c>
      <c r="C11" t="s">
        <v>25</v>
      </c>
      <c r="D11">
        <v>36.770000000000003</v>
      </c>
    </row>
    <row r="12" spans="1:4" x14ac:dyDescent="0.25">
      <c r="A12" s="1">
        <v>45680</v>
      </c>
      <c r="B12" t="s">
        <v>5</v>
      </c>
      <c r="C12" t="s">
        <v>25</v>
      </c>
      <c r="D12">
        <v>36.97</v>
      </c>
    </row>
    <row r="13" spans="1:4" x14ac:dyDescent="0.25">
      <c r="A13" s="1">
        <v>45681</v>
      </c>
      <c r="B13" t="s">
        <v>5</v>
      </c>
      <c r="C13" t="s">
        <v>25</v>
      </c>
      <c r="D13">
        <v>129.88999999999999</v>
      </c>
    </row>
    <row r="14" spans="1:4" x14ac:dyDescent="0.25">
      <c r="A14" s="1">
        <v>45681</v>
      </c>
      <c r="B14" t="s">
        <v>28</v>
      </c>
      <c r="C14" t="s">
        <v>25</v>
      </c>
      <c r="D14">
        <v>70.05</v>
      </c>
    </row>
    <row r="15" spans="1:4" x14ac:dyDescent="0.25">
      <c r="A15" s="1">
        <v>45681</v>
      </c>
      <c r="B15" t="s">
        <v>1</v>
      </c>
      <c r="C15" t="s">
        <v>2</v>
      </c>
      <c r="D15">
        <v>141.84</v>
      </c>
    </row>
    <row r="16" spans="1:4" x14ac:dyDescent="0.25">
      <c r="A16" s="1">
        <v>45683</v>
      </c>
      <c r="B16" t="s">
        <v>0</v>
      </c>
      <c r="C16" t="s">
        <v>24</v>
      </c>
      <c r="D16">
        <v>54.36</v>
      </c>
    </row>
    <row r="17" spans="1:4" x14ac:dyDescent="0.25">
      <c r="A17" s="1">
        <v>45684</v>
      </c>
      <c r="B17" t="s">
        <v>0</v>
      </c>
      <c r="C17" t="s">
        <v>24</v>
      </c>
      <c r="D17">
        <v>60.89</v>
      </c>
    </row>
    <row r="18" spans="1:4" x14ac:dyDescent="0.25">
      <c r="A18" s="1">
        <v>45684</v>
      </c>
      <c r="B18" t="s">
        <v>0</v>
      </c>
      <c r="C18" t="s">
        <v>24</v>
      </c>
      <c r="D18">
        <v>60.89</v>
      </c>
    </row>
    <row r="19" spans="1:4" x14ac:dyDescent="0.25">
      <c r="A19" s="1">
        <v>45691</v>
      </c>
      <c r="B19" t="s">
        <v>1</v>
      </c>
      <c r="C19" t="s">
        <v>2</v>
      </c>
      <c r="D19">
        <v>160.9</v>
      </c>
    </row>
    <row r="20" spans="1:4" x14ac:dyDescent="0.25">
      <c r="A20" s="1">
        <v>45692</v>
      </c>
      <c r="B20" t="s">
        <v>5</v>
      </c>
      <c r="C20" t="s">
        <v>25</v>
      </c>
      <c r="D20">
        <v>143.06</v>
      </c>
    </row>
    <row r="21" spans="1:4" x14ac:dyDescent="0.25">
      <c r="A21" s="1">
        <v>45693</v>
      </c>
      <c r="B21" t="s">
        <v>3</v>
      </c>
      <c r="C21" t="s">
        <v>4</v>
      </c>
      <c r="D21">
        <v>1200</v>
      </c>
    </row>
    <row r="22" spans="1:4" x14ac:dyDescent="0.25">
      <c r="A22" s="1">
        <v>45696</v>
      </c>
      <c r="B22" t="s">
        <v>0</v>
      </c>
      <c r="C22" t="s">
        <v>24</v>
      </c>
      <c r="D22">
        <v>17.579999999999998</v>
      </c>
    </row>
    <row r="23" spans="1:4" x14ac:dyDescent="0.25">
      <c r="A23" s="1">
        <v>45697</v>
      </c>
      <c r="B23" t="s">
        <v>29</v>
      </c>
      <c r="C23" t="s">
        <v>25</v>
      </c>
      <c r="D23">
        <v>37.81</v>
      </c>
    </row>
    <row r="24" spans="1:4" x14ac:dyDescent="0.25">
      <c r="A24" s="1">
        <v>45698</v>
      </c>
      <c r="B24" t="s">
        <v>6</v>
      </c>
      <c r="C24" t="s">
        <v>26</v>
      </c>
      <c r="D24">
        <v>233.95</v>
      </c>
    </row>
    <row r="25" spans="1:4" x14ac:dyDescent="0.25">
      <c r="A25" s="1">
        <v>45698</v>
      </c>
      <c r="B25" t="s">
        <v>1</v>
      </c>
      <c r="C25" t="s">
        <v>2</v>
      </c>
      <c r="D25">
        <v>171.29</v>
      </c>
    </row>
    <row r="26" spans="1:4" x14ac:dyDescent="0.25">
      <c r="A26" s="1">
        <v>45700</v>
      </c>
      <c r="B26" t="s">
        <v>5</v>
      </c>
      <c r="C26" t="s">
        <v>25</v>
      </c>
      <c r="D26">
        <v>91.71</v>
      </c>
    </row>
    <row r="27" spans="1:4" x14ac:dyDescent="0.25">
      <c r="A27" s="1">
        <v>45705</v>
      </c>
      <c r="B27" t="s">
        <v>1</v>
      </c>
      <c r="C27" t="s">
        <v>2</v>
      </c>
      <c r="D27">
        <v>183.85</v>
      </c>
    </row>
    <row r="28" spans="1:4" x14ac:dyDescent="0.25">
      <c r="A28" s="1">
        <v>45706</v>
      </c>
      <c r="B28" t="s">
        <v>0</v>
      </c>
      <c r="C28" t="s">
        <v>24</v>
      </c>
      <c r="D28">
        <v>43.91</v>
      </c>
    </row>
    <row r="29" spans="1:4" x14ac:dyDescent="0.25">
      <c r="A29" s="1">
        <v>45707</v>
      </c>
      <c r="B29" t="s">
        <v>5</v>
      </c>
      <c r="C29" t="s">
        <v>25</v>
      </c>
      <c r="D29">
        <v>111.64</v>
      </c>
    </row>
    <row r="30" spans="1:4" x14ac:dyDescent="0.25">
      <c r="A30" s="1">
        <v>45708</v>
      </c>
      <c r="B30" t="s">
        <v>0</v>
      </c>
      <c r="C30" t="s">
        <v>24</v>
      </c>
      <c r="D30">
        <v>33.08</v>
      </c>
    </row>
    <row r="31" spans="1:4" x14ac:dyDescent="0.25">
      <c r="A31" s="1">
        <v>45712</v>
      </c>
      <c r="B31" t="s">
        <v>1</v>
      </c>
      <c r="C31" t="s">
        <v>2</v>
      </c>
      <c r="D31">
        <v>229.92</v>
      </c>
    </row>
    <row r="32" spans="1:4" x14ac:dyDescent="0.25">
      <c r="A32" s="1">
        <v>45713</v>
      </c>
      <c r="B32" t="s">
        <v>5</v>
      </c>
      <c r="C32" t="s">
        <v>25</v>
      </c>
      <c r="D32">
        <v>35.57</v>
      </c>
    </row>
    <row r="33" spans="1:4" x14ac:dyDescent="0.25">
      <c r="A33" s="1">
        <v>45714</v>
      </c>
      <c r="B33" t="s">
        <v>30</v>
      </c>
      <c r="C33" t="s">
        <v>24</v>
      </c>
      <c r="D33">
        <v>22.33</v>
      </c>
    </row>
    <row r="34" spans="1:4" x14ac:dyDescent="0.25">
      <c r="A34" s="1">
        <v>45716</v>
      </c>
      <c r="B34" t="s">
        <v>0</v>
      </c>
      <c r="C34" t="s">
        <v>24</v>
      </c>
      <c r="D34">
        <v>24.15</v>
      </c>
    </row>
    <row r="35" spans="1:4" x14ac:dyDescent="0.25">
      <c r="A35" s="1">
        <v>45718</v>
      </c>
      <c r="B35" t="s">
        <v>5</v>
      </c>
      <c r="C35" t="s">
        <v>25</v>
      </c>
      <c r="D35">
        <v>77.42</v>
      </c>
    </row>
    <row r="36" spans="1:4" x14ac:dyDescent="0.25">
      <c r="A36" s="1">
        <v>45719</v>
      </c>
      <c r="B36" t="s">
        <v>1</v>
      </c>
      <c r="C36" t="s">
        <v>2</v>
      </c>
      <c r="D36">
        <v>156.22999999999999</v>
      </c>
    </row>
    <row r="37" spans="1:4" x14ac:dyDescent="0.25">
      <c r="A37" s="1">
        <v>45719</v>
      </c>
      <c r="B37" t="s">
        <v>1</v>
      </c>
      <c r="C37" t="s">
        <v>2</v>
      </c>
      <c r="D37">
        <v>156.22999999999999</v>
      </c>
    </row>
    <row r="38" spans="1:4" x14ac:dyDescent="0.25">
      <c r="A38" s="1">
        <v>45720</v>
      </c>
      <c r="B38" t="s">
        <v>5</v>
      </c>
      <c r="C38" t="s">
        <v>25</v>
      </c>
      <c r="D38">
        <v>52.18</v>
      </c>
    </row>
    <row r="39" spans="1:4" x14ac:dyDescent="0.25">
      <c r="A39" s="1">
        <v>45720</v>
      </c>
      <c r="B39" t="s">
        <v>5</v>
      </c>
      <c r="C39" t="s">
        <v>25</v>
      </c>
      <c r="D39">
        <v>101.75</v>
      </c>
    </row>
    <row r="40" spans="1:4" x14ac:dyDescent="0.25">
      <c r="A40" s="1">
        <v>45721</v>
      </c>
      <c r="B40" t="s">
        <v>3</v>
      </c>
      <c r="C40" t="s">
        <v>4</v>
      </c>
      <c r="D40">
        <v>1200</v>
      </c>
    </row>
    <row r="41" spans="1:4" x14ac:dyDescent="0.25">
      <c r="A41" s="1">
        <v>45724</v>
      </c>
      <c r="B41" t="s">
        <v>0</v>
      </c>
      <c r="C41" t="s">
        <v>24</v>
      </c>
      <c r="D41">
        <v>78.34</v>
      </c>
    </row>
    <row r="42" spans="1:4" x14ac:dyDescent="0.25">
      <c r="A42" s="1">
        <v>45726</v>
      </c>
      <c r="B42" t="s">
        <v>1</v>
      </c>
      <c r="C42" t="s">
        <v>2</v>
      </c>
      <c r="D42">
        <v>212.75</v>
      </c>
    </row>
    <row r="43" spans="1:4" x14ac:dyDescent="0.25">
      <c r="A43" s="1">
        <v>45726</v>
      </c>
      <c r="B43" t="s">
        <v>6</v>
      </c>
      <c r="C43" t="s">
        <v>26</v>
      </c>
      <c r="D43">
        <v>310.93</v>
      </c>
    </row>
    <row r="44" spans="1:4" x14ac:dyDescent="0.25">
      <c r="A44" s="1">
        <v>45729</v>
      </c>
      <c r="B44" t="s">
        <v>0</v>
      </c>
      <c r="D44">
        <v>35.35</v>
      </c>
    </row>
    <row r="45" spans="1:4" x14ac:dyDescent="0.25">
      <c r="A45" s="1">
        <v>45731</v>
      </c>
      <c r="B45" t="s">
        <v>0</v>
      </c>
      <c r="C45" t="s">
        <v>24</v>
      </c>
      <c r="D45">
        <v>21.64</v>
      </c>
    </row>
    <row r="46" spans="1:4" x14ac:dyDescent="0.25">
      <c r="A46" s="1">
        <v>45733</v>
      </c>
      <c r="B46" t="s">
        <v>1</v>
      </c>
      <c r="C46" t="s">
        <v>2</v>
      </c>
      <c r="D46">
        <v>163.63999999999999</v>
      </c>
    </row>
    <row r="47" spans="1:4" x14ac:dyDescent="0.25">
      <c r="A47" s="1">
        <v>45734</v>
      </c>
      <c r="B47" t="s">
        <v>5</v>
      </c>
      <c r="C47" t="s">
        <v>25</v>
      </c>
      <c r="D47">
        <v>123.02</v>
      </c>
    </row>
    <row r="48" spans="1:4" x14ac:dyDescent="0.25">
      <c r="A48" s="1">
        <v>45737</v>
      </c>
      <c r="B48" t="s">
        <v>0</v>
      </c>
      <c r="C48" t="s">
        <v>24</v>
      </c>
      <c r="D48">
        <v>59.01</v>
      </c>
    </row>
    <row r="49" spans="1:4" x14ac:dyDescent="0.25">
      <c r="A49" s="1">
        <v>45739</v>
      </c>
      <c r="B49" t="s">
        <v>0</v>
      </c>
      <c r="C49" t="s">
        <v>24</v>
      </c>
      <c r="D49">
        <v>54.06</v>
      </c>
    </row>
    <row r="50" spans="1:4" x14ac:dyDescent="0.25">
      <c r="A50" s="1">
        <v>45740</v>
      </c>
      <c r="B50" t="s">
        <v>1</v>
      </c>
      <c r="C50" t="s">
        <v>2</v>
      </c>
      <c r="D50">
        <v>192.81</v>
      </c>
    </row>
    <row r="51" spans="1:4" x14ac:dyDescent="0.25">
      <c r="A51" s="1">
        <v>45741</v>
      </c>
      <c r="B51" t="s">
        <v>0</v>
      </c>
      <c r="C51" t="s">
        <v>24</v>
      </c>
      <c r="D51">
        <v>36.07</v>
      </c>
    </row>
    <row r="52" spans="1:4" x14ac:dyDescent="0.25">
      <c r="A52" s="1">
        <v>45744</v>
      </c>
      <c r="B52" t="s">
        <v>0</v>
      </c>
      <c r="C52" t="s">
        <v>24</v>
      </c>
      <c r="D52">
        <v>35.700000000000003</v>
      </c>
    </row>
    <row r="53" spans="1:4" x14ac:dyDescent="0.25">
      <c r="A53" s="1">
        <v>45750</v>
      </c>
      <c r="B53" t="s">
        <v>0</v>
      </c>
      <c r="C53" t="s">
        <v>24</v>
      </c>
      <c r="D53">
        <v>23.97</v>
      </c>
    </row>
    <row r="54" spans="1:4" x14ac:dyDescent="0.25">
      <c r="A54" s="1">
        <v>45750</v>
      </c>
      <c r="B54" t="s">
        <v>5</v>
      </c>
      <c r="C54" t="s">
        <v>25</v>
      </c>
      <c r="D54">
        <v>124.82</v>
      </c>
    </row>
    <row r="55" spans="1:4" x14ac:dyDescent="0.25">
      <c r="A55" s="1">
        <v>45750</v>
      </c>
      <c r="B55" t="s">
        <v>1</v>
      </c>
      <c r="C55" t="s">
        <v>2</v>
      </c>
      <c r="D55">
        <v>143.13999999999999</v>
      </c>
    </row>
    <row r="56" spans="1:4" x14ac:dyDescent="0.25">
      <c r="A56" s="1">
        <v>45752</v>
      </c>
      <c r="B56" t="s">
        <v>3</v>
      </c>
      <c r="C56" t="s">
        <v>4</v>
      </c>
      <c r="D56">
        <v>1200</v>
      </c>
    </row>
    <row r="57" spans="1:4" x14ac:dyDescent="0.25">
      <c r="A57" s="1">
        <v>45754</v>
      </c>
      <c r="B57" t="s">
        <v>5</v>
      </c>
      <c r="C57" t="s">
        <v>25</v>
      </c>
      <c r="D57">
        <v>108.13</v>
      </c>
    </row>
    <row r="58" spans="1:4" x14ac:dyDescent="0.25">
      <c r="A58" s="1">
        <v>45757</v>
      </c>
      <c r="B58" t="s">
        <v>6</v>
      </c>
      <c r="C58" t="s">
        <v>26</v>
      </c>
      <c r="D58">
        <v>249.63</v>
      </c>
    </row>
    <row r="59" spans="1:4" x14ac:dyDescent="0.25">
      <c r="A59" s="1">
        <v>45757</v>
      </c>
      <c r="B59" t="s">
        <v>1</v>
      </c>
      <c r="C59" t="s">
        <v>2</v>
      </c>
      <c r="D59">
        <v>122.19</v>
      </c>
    </row>
    <row r="60" spans="1:4" x14ac:dyDescent="0.25">
      <c r="A60" s="1">
        <v>45759</v>
      </c>
      <c r="B60" t="s">
        <v>0</v>
      </c>
      <c r="C60" t="s">
        <v>24</v>
      </c>
      <c r="D60">
        <v>39.82</v>
      </c>
    </row>
    <row r="61" spans="1:4" x14ac:dyDescent="0.25">
      <c r="A61" s="1">
        <v>45759</v>
      </c>
      <c r="B61" t="s">
        <v>0</v>
      </c>
      <c r="C61" t="s">
        <v>24</v>
      </c>
      <c r="D61">
        <v>62.82</v>
      </c>
    </row>
    <row r="62" spans="1:4" x14ac:dyDescent="0.25">
      <c r="A62" s="1">
        <v>45761</v>
      </c>
      <c r="B62" t="s">
        <v>0</v>
      </c>
      <c r="C62" t="s">
        <v>24</v>
      </c>
      <c r="D62">
        <v>78.67</v>
      </c>
    </row>
    <row r="63" spans="1:4" x14ac:dyDescent="0.25">
      <c r="A63" s="1">
        <v>45763</v>
      </c>
      <c r="B63" t="s">
        <v>0</v>
      </c>
      <c r="C63" t="s">
        <v>24</v>
      </c>
      <c r="D63">
        <v>42.81</v>
      </c>
    </row>
    <row r="64" spans="1:4" x14ac:dyDescent="0.25">
      <c r="A64" s="1">
        <v>45764</v>
      </c>
      <c r="B64" t="s">
        <v>1</v>
      </c>
      <c r="C64" t="s">
        <v>2</v>
      </c>
      <c r="D64">
        <v>179.28</v>
      </c>
    </row>
    <row r="65" spans="1:4" x14ac:dyDescent="0.25">
      <c r="A65" s="1">
        <v>45766</v>
      </c>
      <c r="B65" t="s">
        <v>5</v>
      </c>
      <c r="C65" t="s">
        <v>25</v>
      </c>
      <c r="D65">
        <v>114.82</v>
      </c>
    </row>
    <row r="66" spans="1:4" x14ac:dyDescent="0.25">
      <c r="A66" s="1">
        <v>45771</v>
      </c>
      <c r="B66" t="s">
        <v>1</v>
      </c>
      <c r="C66" t="s">
        <v>2</v>
      </c>
      <c r="D66">
        <v>175.28</v>
      </c>
    </row>
    <row r="67" spans="1:4" x14ac:dyDescent="0.25">
      <c r="A67" s="1">
        <v>45771</v>
      </c>
      <c r="B67" t="s">
        <v>5</v>
      </c>
      <c r="C67" t="s">
        <v>25</v>
      </c>
      <c r="D67">
        <v>31.69</v>
      </c>
    </row>
    <row r="68" spans="1:4" x14ac:dyDescent="0.25">
      <c r="A68" s="1">
        <v>45771</v>
      </c>
      <c r="B68" t="s">
        <v>0</v>
      </c>
      <c r="C68" t="s">
        <v>24</v>
      </c>
      <c r="D68">
        <v>64.94</v>
      </c>
    </row>
    <row r="69" spans="1:4" x14ac:dyDescent="0.25">
      <c r="A69" s="1">
        <v>45774</v>
      </c>
      <c r="B69" t="s">
        <v>5</v>
      </c>
      <c r="C69" t="s">
        <v>25</v>
      </c>
      <c r="D69">
        <v>38.89</v>
      </c>
    </row>
    <row r="70" spans="1:4" x14ac:dyDescent="0.25">
      <c r="A70" s="1">
        <v>45774</v>
      </c>
      <c r="B70" t="s">
        <v>0</v>
      </c>
      <c r="C70" t="s">
        <v>24</v>
      </c>
      <c r="D70">
        <v>57.09</v>
      </c>
    </row>
    <row r="71" spans="1:4" x14ac:dyDescent="0.25">
      <c r="A71" s="1">
        <v>45775</v>
      </c>
      <c r="B71" t="s">
        <v>5</v>
      </c>
      <c r="C71" t="s">
        <v>25</v>
      </c>
      <c r="D71">
        <v>133.57</v>
      </c>
    </row>
    <row r="72" spans="1:4" x14ac:dyDescent="0.25">
      <c r="A72" s="1">
        <v>45780</v>
      </c>
      <c r="B72" t="s">
        <v>1</v>
      </c>
      <c r="C72" t="s">
        <v>2</v>
      </c>
      <c r="D72">
        <v>153.04</v>
      </c>
    </row>
    <row r="73" spans="1:4" x14ac:dyDescent="0.25">
      <c r="A73" s="1">
        <v>45781</v>
      </c>
      <c r="B73" t="s">
        <v>5</v>
      </c>
      <c r="C73" t="s">
        <v>25</v>
      </c>
      <c r="D73">
        <v>138.91</v>
      </c>
    </row>
    <row r="74" spans="1:4" x14ac:dyDescent="0.25">
      <c r="A74" s="1">
        <v>45782</v>
      </c>
      <c r="B74" t="s">
        <v>3</v>
      </c>
      <c r="C74" t="s">
        <v>4</v>
      </c>
      <c r="D74">
        <v>1200</v>
      </c>
    </row>
    <row r="75" spans="1:4" x14ac:dyDescent="0.25">
      <c r="A75" s="1">
        <v>45784</v>
      </c>
      <c r="B75" t="s">
        <v>0</v>
      </c>
      <c r="C75" t="s">
        <v>24</v>
      </c>
      <c r="D75">
        <v>45.78</v>
      </c>
    </row>
    <row r="76" spans="1:4" x14ac:dyDescent="0.25">
      <c r="A76" s="1">
        <v>45784</v>
      </c>
      <c r="B76" t="s">
        <v>5</v>
      </c>
      <c r="C76" t="s">
        <v>25</v>
      </c>
      <c r="D76">
        <v>87.04</v>
      </c>
    </row>
    <row r="77" spans="1:4" x14ac:dyDescent="0.25">
      <c r="A77" s="1">
        <v>45787</v>
      </c>
      <c r="B77" t="s">
        <v>1</v>
      </c>
      <c r="C77" t="s">
        <v>2</v>
      </c>
      <c r="D77">
        <v>155.85</v>
      </c>
    </row>
    <row r="78" spans="1:4" x14ac:dyDescent="0.25">
      <c r="A78" s="1">
        <v>45787</v>
      </c>
      <c r="B78" t="s">
        <v>5</v>
      </c>
      <c r="C78" t="s">
        <v>25</v>
      </c>
      <c r="D78">
        <v>82.72</v>
      </c>
    </row>
    <row r="79" spans="1:4" x14ac:dyDescent="0.25">
      <c r="A79" s="1">
        <v>45787</v>
      </c>
      <c r="B79" t="s">
        <v>6</v>
      </c>
      <c r="C79" t="s">
        <v>26</v>
      </c>
      <c r="D79">
        <v>292.17</v>
      </c>
    </row>
    <row r="80" spans="1:4" x14ac:dyDescent="0.25">
      <c r="A80" s="1">
        <v>45788</v>
      </c>
      <c r="B80" t="s">
        <v>0</v>
      </c>
      <c r="C80" t="s">
        <v>24</v>
      </c>
      <c r="D80">
        <v>30.23</v>
      </c>
    </row>
    <row r="81" spans="1:4" x14ac:dyDescent="0.25">
      <c r="A81" s="1">
        <v>45790</v>
      </c>
      <c r="B81" t="s">
        <v>0</v>
      </c>
      <c r="C81" t="s">
        <v>24</v>
      </c>
      <c r="D81">
        <v>20.77</v>
      </c>
    </row>
    <row r="82" spans="1:4" x14ac:dyDescent="0.25">
      <c r="A82" s="1">
        <v>45790</v>
      </c>
      <c r="B82" t="s">
        <v>0</v>
      </c>
      <c r="C82" t="s">
        <v>24</v>
      </c>
      <c r="D82">
        <v>37.17</v>
      </c>
    </row>
    <row r="83" spans="1:4" x14ac:dyDescent="0.25">
      <c r="A83" s="1">
        <v>45794</v>
      </c>
      <c r="B83" t="s">
        <v>1</v>
      </c>
      <c r="C83" t="s">
        <v>2</v>
      </c>
      <c r="D83">
        <v>125.66</v>
      </c>
    </row>
    <row r="84" spans="1:4" x14ac:dyDescent="0.25">
      <c r="A84" s="1">
        <v>45796</v>
      </c>
      <c r="B84" t="s">
        <v>5</v>
      </c>
      <c r="C84" t="s">
        <v>25</v>
      </c>
      <c r="D84">
        <v>33.770000000000003</v>
      </c>
    </row>
    <row r="85" spans="1:4" x14ac:dyDescent="0.25">
      <c r="A85" s="1">
        <v>45801</v>
      </c>
      <c r="B85" t="s">
        <v>1</v>
      </c>
      <c r="C85" t="s">
        <v>2</v>
      </c>
      <c r="D85">
        <v>219.49</v>
      </c>
    </row>
    <row r="86" spans="1:4" x14ac:dyDescent="0.25">
      <c r="A86" s="1">
        <v>45804</v>
      </c>
      <c r="B86" t="s">
        <v>0</v>
      </c>
      <c r="C86" t="s">
        <v>24</v>
      </c>
      <c r="D86">
        <v>67.11</v>
      </c>
    </row>
    <row r="87" spans="1:4" x14ac:dyDescent="0.25">
      <c r="A87" s="1">
        <v>45805</v>
      </c>
      <c r="B87" t="s">
        <v>0</v>
      </c>
      <c r="C87" t="s">
        <v>24</v>
      </c>
      <c r="D87">
        <v>84.73</v>
      </c>
    </row>
    <row r="88" spans="1:4" x14ac:dyDescent="0.25">
      <c r="A88" s="1">
        <v>45809</v>
      </c>
      <c r="B88" t="s">
        <v>5</v>
      </c>
      <c r="C88" t="s">
        <v>25</v>
      </c>
      <c r="D88">
        <v>62.66</v>
      </c>
    </row>
    <row r="89" spans="1:4" x14ac:dyDescent="0.25">
      <c r="A89" s="1">
        <v>45811</v>
      </c>
      <c r="B89" t="s">
        <v>5</v>
      </c>
      <c r="C89" t="s">
        <v>25</v>
      </c>
      <c r="D89">
        <v>30.83</v>
      </c>
    </row>
    <row r="90" spans="1:4" x14ac:dyDescent="0.25">
      <c r="A90" s="1">
        <v>45811</v>
      </c>
      <c r="B90" t="s">
        <v>1</v>
      </c>
      <c r="C90" t="s">
        <v>2</v>
      </c>
      <c r="D90">
        <v>183.91</v>
      </c>
    </row>
    <row r="91" spans="1:4" x14ac:dyDescent="0.25">
      <c r="A91" s="1">
        <v>45813</v>
      </c>
      <c r="B91" t="s">
        <v>0</v>
      </c>
      <c r="C91" t="s">
        <v>24</v>
      </c>
      <c r="D91">
        <v>66.930000000000007</v>
      </c>
    </row>
    <row r="92" spans="1:4" x14ac:dyDescent="0.25">
      <c r="A92" s="1">
        <v>45813</v>
      </c>
      <c r="B92" t="s">
        <v>3</v>
      </c>
      <c r="C92" t="s">
        <v>4</v>
      </c>
      <c r="D92">
        <v>1200</v>
      </c>
    </row>
    <row r="93" spans="1:4" x14ac:dyDescent="0.25">
      <c r="A93" s="1">
        <v>45818</v>
      </c>
      <c r="B93" t="s">
        <v>0</v>
      </c>
      <c r="C93" t="s">
        <v>24</v>
      </c>
      <c r="D93">
        <v>40.32</v>
      </c>
    </row>
    <row r="94" spans="1:4" x14ac:dyDescent="0.25">
      <c r="A94" s="1">
        <v>45818</v>
      </c>
      <c r="B94" t="s">
        <v>6</v>
      </c>
      <c r="C94" t="s">
        <v>26</v>
      </c>
      <c r="D94">
        <v>230.55</v>
      </c>
    </row>
    <row r="95" spans="1:4" x14ac:dyDescent="0.25">
      <c r="A95" s="1">
        <v>45818</v>
      </c>
      <c r="B95" t="s">
        <v>1</v>
      </c>
      <c r="C95" t="s">
        <v>2</v>
      </c>
      <c r="D95">
        <v>150.58000000000001</v>
      </c>
    </row>
    <row r="96" spans="1:4" x14ac:dyDescent="0.25">
      <c r="A96" s="1">
        <v>45823</v>
      </c>
      <c r="B96" t="s">
        <v>0</v>
      </c>
      <c r="C96" t="s">
        <v>24</v>
      </c>
      <c r="D96">
        <v>27.62</v>
      </c>
    </row>
    <row r="97" spans="1:4" x14ac:dyDescent="0.25">
      <c r="A97" s="1">
        <v>45825</v>
      </c>
      <c r="B97" t="s">
        <v>0</v>
      </c>
      <c r="C97" t="s">
        <v>24</v>
      </c>
      <c r="D97">
        <v>19.87</v>
      </c>
    </row>
    <row r="98" spans="1:4" x14ac:dyDescent="0.25">
      <c r="A98" s="1">
        <v>45825</v>
      </c>
      <c r="B98" t="s">
        <v>1</v>
      </c>
      <c r="C98" t="s">
        <v>2</v>
      </c>
      <c r="D98">
        <v>178.31</v>
      </c>
    </row>
    <row r="99" spans="1:4" x14ac:dyDescent="0.25">
      <c r="A99" s="1">
        <v>45828</v>
      </c>
      <c r="B99" t="s">
        <v>5</v>
      </c>
      <c r="C99" t="s">
        <v>25</v>
      </c>
      <c r="D99">
        <v>72.31</v>
      </c>
    </row>
    <row r="100" spans="1:4" x14ac:dyDescent="0.25">
      <c r="A100" s="1">
        <v>45832</v>
      </c>
      <c r="B100" t="s">
        <v>1</v>
      </c>
      <c r="C100" t="s">
        <v>2</v>
      </c>
      <c r="D100">
        <v>243.66</v>
      </c>
    </row>
    <row r="101" spans="1:4" x14ac:dyDescent="0.25">
      <c r="A101" s="1">
        <v>45832</v>
      </c>
      <c r="B101" t="s">
        <v>0</v>
      </c>
      <c r="C101" t="s">
        <v>24</v>
      </c>
      <c r="D101">
        <v>67.73</v>
      </c>
    </row>
    <row r="102" spans="1:4" x14ac:dyDescent="0.25">
      <c r="A102" s="1">
        <v>45833</v>
      </c>
      <c r="B102" t="s">
        <v>5</v>
      </c>
      <c r="C102" t="s">
        <v>25</v>
      </c>
      <c r="D102">
        <v>68.16</v>
      </c>
    </row>
    <row r="103" spans="1:4" x14ac:dyDescent="0.25">
      <c r="A103" s="1">
        <v>45834</v>
      </c>
      <c r="B103" t="s">
        <v>5</v>
      </c>
      <c r="C103" t="s">
        <v>25</v>
      </c>
      <c r="D103">
        <v>44.65</v>
      </c>
    </row>
    <row r="104" spans="1:4" x14ac:dyDescent="0.25">
      <c r="A104" s="1">
        <v>45834</v>
      </c>
      <c r="B104" t="s">
        <v>0</v>
      </c>
      <c r="C104" t="s">
        <v>24</v>
      </c>
      <c r="D104">
        <v>87.18</v>
      </c>
    </row>
    <row r="105" spans="1:4" x14ac:dyDescent="0.25">
      <c r="A105" s="1">
        <v>45835</v>
      </c>
      <c r="B105" t="s">
        <v>5</v>
      </c>
      <c r="C105" t="s">
        <v>25</v>
      </c>
      <c r="D105">
        <v>81.25</v>
      </c>
    </row>
    <row r="106" spans="1:4" x14ac:dyDescent="0.25">
      <c r="A106" s="1">
        <v>45835</v>
      </c>
      <c r="B106" t="s">
        <v>0</v>
      </c>
      <c r="C106" t="s">
        <v>24</v>
      </c>
      <c r="D106">
        <v>46.31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7436-089B-4DCB-88D0-9F53D77B32F5}">
  <dimension ref="A1:J103"/>
  <sheetViews>
    <sheetView showGridLines="0" topLeftCell="A6" workbookViewId="0">
      <selection activeCell="D6" sqref="D6"/>
    </sheetView>
  </sheetViews>
  <sheetFormatPr defaultRowHeight="15" x14ac:dyDescent="0.25"/>
  <cols>
    <col min="1" max="1" width="12.140625" style="5" customWidth="1"/>
    <col min="2" max="2" width="9.85546875" style="5" customWidth="1"/>
    <col min="3" max="3" width="13.42578125" bestFit="1" customWidth="1"/>
    <col min="4" max="4" width="17.7109375" bestFit="1" customWidth="1"/>
    <col min="5" max="5" width="11.85546875" style="15" bestFit="1" customWidth="1"/>
    <col min="7" max="7" width="15.7109375" bestFit="1" customWidth="1"/>
    <col min="8" max="8" width="10.28515625" bestFit="1" customWidth="1"/>
    <col min="9" max="9" width="14.28515625" customWidth="1"/>
    <col min="10" max="10" width="26.140625" bestFit="1" customWidth="1"/>
    <col min="11" max="11" width="11.7109375" bestFit="1" customWidth="1"/>
    <col min="12" max="12" width="17.7109375" bestFit="1" customWidth="1"/>
    <col min="13" max="13" width="17.42578125" bestFit="1" customWidth="1"/>
    <col min="14" max="14" width="5.5703125" bestFit="1" customWidth="1"/>
  </cols>
  <sheetData>
    <row r="1" spans="1:10" x14ac:dyDescent="0.25">
      <c r="A1" s="16" t="s">
        <v>7</v>
      </c>
      <c r="B1" s="16" t="s">
        <v>34</v>
      </c>
      <c r="C1" s="13" t="s">
        <v>8</v>
      </c>
      <c r="D1" s="13" t="s">
        <v>9</v>
      </c>
      <c r="E1" s="14" t="s">
        <v>10</v>
      </c>
    </row>
    <row r="2" spans="1:10" x14ac:dyDescent="0.25">
      <c r="A2" s="17">
        <v>45659</v>
      </c>
      <c r="B2" s="17" t="s">
        <v>14</v>
      </c>
      <c r="C2" t="s">
        <v>0</v>
      </c>
      <c r="D2" t="s">
        <v>31</v>
      </c>
      <c r="E2" s="15">
        <v>28.64</v>
      </c>
    </row>
    <row r="3" spans="1:10" x14ac:dyDescent="0.25">
      <c r="A3" s="17">
        <v>45660</v>
      </c>
      <c r="B3" s="17" t="s">
        <v>14</v>
      </c>
      <c r="C3" t="s">
        <v>1</v>
      </c>
      <c r="D3" t="s">
        <v>2</v>
      </c>
      <c r="E3" s="15">
        <v>253.1</v>
      </c>
    </row>
    <row r="4" spans="1:10" x14ac:dyDescent="0.25">
      <c r="A4" s="17">
        <v>45662</v>
      </c>
      <c r="B4" s="17" t="s">
        <v>14</v>
      </c>
      <c r="C4" t="s">
        <v>3</v>
      </c>
      <c r="D4" t="s">
        <v>4</v>
      </c>
      <c r="E4" s="15">
        <v>1200</v>
      </c>
    </row>
    <row r="5" spans="1:10" x14ac:dyDescent="0.25">
      <c r="A5" s="17">
        <v>45665</v>
      </c>
      <c r="B5" s="17" t="s">
        <v>14</v>
      </c>
      <c r="C5" t="s">
        <v>5</v>
      </c>
      <c r="D5" t="s">
        <v>57</v>
      </c>
      <c r="E5" s="15">
        <v>114.97</v>
      </c>
    </row>
    <row r="6" spans="1:10" x14ac:dyDescent="0.25">
      <c r="A6" s="17">
        <v>45667</v>
      </c>
      <c r="B6" s="17" t="s">
        <v>14</v>
      </c>
      <c r="C6" t="s">
        <v>6</v>
      </c>
      <c r="D6" t="s">
        <v>58</v>
      </c>
      <c r="E6" s="15">
        <v>257.45</v>
      </c>
    </row>
    <row r="7" spans="1:10" x14ac:dyDescent="0.25">
      <c r="A7" s="17">
        <v>45667</v>
      </c>
      <c r="B7" s="17" t="s">
        <v>14</v>
      </c>
      <c r="C7" t="s">
        <v>1</v>
      </c>
      <c r="D7" t="s">
        <v>2</v>
      </c>
      <c r="E7" s="15">
        <v>222.48</v>
      </c>
    </row>
    <row r="8" spans="1:10" x14ac:dyDescent="0.25">
      <c r="A8" s="17">
        <v>45669</v>
      </c>
      <c r="B8" s="17" t="s">
        <v>14</v>
      </c>
      <c r="C8" t="s">
        <v>0</v>
      </c>
      <c r="D8" t="s">
        <v>31</v>
      </c>
      <c r="E8" s="15">
        <v>16.73</v>
      </c>
    </row>
    <row r="9" spans="1:10" x14ac:dyDescent="0.25">
      <c r="A9" s="17">
        <v>45674</v>
      </c>
      <c r="B9" s="17" t="s">
        <v>14</v>
      </c>
      <c r="C9" t="s">
        <v>1</v>
      </c>
      <c r="D9" t="s">
        <v>2</v>
      </c>
      <c r="E9" s="15">
        <v>203.81</v>
      </c>
    </row>
    <row r="10" spans="1:10" x14ac:dyDescent="0.25">
      <c r="A10" s="17">
        <v>45679</v>
      </c>
      <c r="B10" s="17" t="s">
        <v>14</v>
      </c>
      <c r="C10" t="s">
        <v>5</v>
      </c>
      <c r="D10" t="s">
        <v>57</v>
      </c>
      <c r="E10" s="15">
        <v>36.770000000000003</v>
      </c>
    </row>
    <row r="11" spans="1:10" x14ac:dyDescent="0.25">
      <c r="A11" s="17">
        <v>45680</v>
      </c>
      <c r="B11" s="17" t="s">
        <v>14</v>
      </c>
      <c r="C11" t="s">
        <v>5</v>
      </c>
      <c r="D11" t="s">
        <v>57</v>
      </c>
      <c r="E11" s="15">
        <v>36.97</v>
      </c>
      <c r="J11" s="1"/>
    </row>
    <row r="12" spans="1:10" x14ac:dyDescent="0.25">
      <c r="A12" s="17">
        <v>45681</v>
      </c>
      <c r="B12" s="17" t="s">
        <v>14</v>
      </c>
      <c r="C12" t="s">
        <v>5</v>
      </c>
      <c r="D12" t="s">
        <v>57</v>
      </c>
      <c r="E12" s="15">
        <v>129.88999999999999</v>
      </c>
      <c r="J12" s="1"/>
    </row>
    <row r="13" spans="1:10" x14ac:dyDescent="0.25">
      <c r="A13" s="17">
        <v>45681</v>
      </c>
      <c r="B13" s="17" t="s">
        <v>14</v>
      </c>
      <c r="C13" t="s">
        <v>5</v>
      </c>
      <c r="D13" t="s">
        <v>57</v>
      </c>
      <c r="E13" s="15">
        <v>70.05</v>
      </c>
      <c r="J13" s="1"/>
    </row>
    <row r="14" spans="1:10" x14ac:dyDescent="0.25">
      <c r="A14" s="17">
        <v>45681</v>
      </c>
      <c r="B14" s="17" t="s">
        <v>14</v>
      </c>
      <c r="C14" t="s">
        <v>1</v>
      </c>
      <c r="D14" t="s">
        <v>2</v>
      </c>
      <c r="E14" s="15">
        <v>141.84</v>
      </c>
      <c r="J14" s="1"/>
    </row>
    <row r="15" spans="1:10" x14ac:dyDescent="0.25">
      <c r="A15" s="17">
        <v>45683</v>
      </c>
      <c r="B15" s="17" t="s">
        <v>14</v>
      </c>
      <c r="C15" t="s">
        <v>0</v>
      </c>
      <c r="D15" t="s">
        <v>31</v>
      </c>
      <c r="E15" s="15">
        <v>54.36</v>
      </c>
      <c r="J15" s="1"/>
    </row>
    <row r="16" spans="1:10" x14ac:dyDescent="0.25">
      <c r="A16" s="17">
        <v>45684</v>
      </c>
      <c r="B16" s="17" t="s">
        <v>14</v>
      </c>
      <c r="C16" t="s">
        <v>0</v>
      </c>
      <c r="D16" t="s">
        <v>31</v>
      </c>
      <c r="E16" s="15">
        <v>60.89</v>
      </c>
    </row>
    <row r="17" spans="1:5" x14ac:dyDescent="0.25">
      <c r="A17" s="17">
        <v>45691</v>
      </c>
      <c r="B17" s="17" t="s">
        <v>15</v>
      </c>
      <c r="C17" t="s">
        <v>1</v>
      </c>
      <c r="D17" t="s">
        <v>2</v>
      </c>
      <c r="E17" s="15">
        <v>160.9</v>
      </c>
    </row>
    <row r="18" spans="1:5" x14ac:dyDescent="0.25">
      <c r="A18" s="17">
        <v>45692</v>
      </c>
      <c r="B18" s="17" t="s">
        <v>15</v>
      </c>
      <c r="C18" t="s">
        <v>5</v>
      </c>
      <c r="D18" t="s">
        <v>57</v>
      </c>
      <c r="E18" s="15">
        <v>143.06</v>
      </c>
    </row>
    <row r="19" spans="1:5" x14ac:dyDescent="0.25">
      <c r="A19" s="17">
        <v>45693</v>
      </c>
      <c r="B19" s="17" t="s">
        <v>15</v>
      </c>
      <c r="C19" t="s">
        <v>3</v>
      </c>
      <c r="D19" t="s">
        <v>4</v>
      </c>
      <c r="E19" s="15">
        <v>1200</v>
      </c>
    </row>
    <row r="20" spans="1:5" x14ac:dyDescent="0.25">
      <c r="A20" s="17">
        <v>45696</v>
      </c>
      <c r="B20" s="17" t="s">
        <v>15</v>
      </c>
      <c r="C20" t="s">
        <v>0</v>
      </c>
      <c r="D20" t="s">
        <v>31</v>
      </c>
      <c r="E20" s="15">
        <v>17.579999999999998</v>
      </c>
    </row>
    <row r="21" spans="1:5" x14ac:dyDescent="0.25">
      <c r="A21" s="17">
        <v>45697</v>
      </c>
      <c r="B21" s="17" t="s">
        <v>15</v>
      </c>
      <c r="C21" t="s">
        <v>5</v>
      </c>
      <c r="D21" t="s">
        <v>57</v>
      </c>
      <c r="E21" s="15">
        <v>37.81</v>
      </c>
    </row>
    <row r="22" spans="1:5" x14ac:dyDescent="0.25">
      <c r="A22" s="17">
        <v>45698</v>
      </c>
      <c r="B22" s="17" t="s">
        <v>15</v>
      </c>
      <c r="C22" t="s">
        <v>6</v>
      </c>
      <c r="D22" t="s">
        <v>58</v>
      </c>
      <c r="E22" s="15">
        <v>233.95</v>
      </c>
    </row>
    <row r="23" spans="1:5" x14ac:dyDescent="0.25">
      <c r="A23" s="17">
        <v>45698</v>
      </c>
      <c r="B23" s="17" t="s">
        <v>15</v>
      </c>
      <c r="C23" t="s">
        <v>1</v>
      </c>
      <c r="D23" t="s">
        <v>2</v>
      </c>
      <c r="E23" s="15">
        <v>171.29</v>
      </c>
    </row>
    <row r="24" spans="1:5" x14ac:dyDescent="0.25">
      <c r="A24" s="17">
        <v>45700</v>
      </c>
      <c r="B24" s="17" t="s">
        <v>15</v>
      </c>
      <c r="C24" t="s">
        <v>5</v>
      </c>
      <c r="D24" t="s">
        <v>57</v>
      </c>
      <c r="E24" s="15">
        <v>91.71</v>
      </c>
    </row>
    <row r="25" spans="1:5" x14ac:dyDescent="0.25">
      <c r="A25" s="17">
        <v>45705</v>
      </c>
      <c r="B25" s="17" t="s">
        <v>15</v>
      </c>
      <c r="C25" t="s">
        <v>1</v>
      </c>
      <c r="D25" t="s">
        <v>2</v>
      </c>
      <c r="E25" s="15">
        <v>183.85</v>
      </c>
    </row>
    <row r="26" spans="1:5" x14ac:dyDescent="0.25">
      <c r="A26" s="17">
        <v>45706</v>
      </c>
      <c r="B26" s="17" t="s">
        <v>15</v>
      </c>
      <c r="C26" t="s">
        <v>0</v>
      </c>
      <c r="D26" t="s">
        <v>31</v>
      </c>
      <c r="E26" s="15">
        <v>43.91</v>
      </c>
    </row>
    <row r="27" spans="1:5" x14ac:dyDescent="0.25">
      <c r="A27" s="17">
        <v>45707</v>
      </c>
      <c r="B27" s="17" t="s">
        <v>15</v>
      </c>
      <c r="C27" t="s">
        <v>5</v>
      </c>
      <c r="D27" t="s">
        <v>57</v>
      </c>
      <c r="E27" s="15">
        <v>111.64</v>
      </c>
    </row>
    <row r="28" spans="1:5" x14ac:dyDescent="0.25">
      <c r="A28" s="17">
        <v>45708</v>
      </c>
      <c r="B28" s="17" t="s">
        <v>15</v>
      </c>
      <c r="C28" t="s">
        <v>0</v>
      </c>
      <c r="D28" t="s">
        <v>31</v>
      </c>
      <c r="E28" s="15">
        <v>33.08</v>
      </c>
    </row>
    <row r="29" spans="1:5" x14ac:dyDescent="0.25">
      <c r="A29" s="17">
        <v>45712</v>
      </c>
      <c r="B29" s="17" t="s">
        <v>15</v>
      </c>
      <c r="C29" t="s">
        <v>1</v>
      </c>
      <c r="D29" t="s">
        <v>2</v>
      </c>
      <c r="E29" s="15">
        <v>229.92</v>
      </c>
    </row>
    <row r="30" spans="1:5" x14ac:dyDescent="0.25">
      <c r="A30" s="17">
        <v>45713</v>
      </c>
      <c r="B30" s="17" t="s">
        <v>15</v>
      </c>
      <c r="C30" t="s">
        <v>5</v>
      </c>
      <c r="D30" t="s">
        <v>57</v>
      </c>
      <c r="E30" s="15">
        <v>35.57</v>
      </c>
    </row>
    <row r="31" spans="1:5" x14ac:dyDescent="0.25">
      <c r="A31" s="17">
        <v>45714</v>
      </c>
      <c r="B31" s="17" t="s">
        <v>15</v>
      </c>
      <c r="C31" t="s">
        <v>0</v>
      </c>
      <c r="D31" t="s">
        <v>31</v>
      </c>
      <c r="E31" s="15">
        <v>22.33</v>
      </c>
    </row>
    <row r="32" spans="1:5" x14ac:dyDescent="0.25">
      <c r="A32" s="17">
        <v>45716</v>
      </c>
      <c r="B32" s="17" t="s">
        <v>15</v>
      </c>
      <c r="C32" t="s">
        <v>0</v>
      </c>
      <c r="D32" t="s">
        <v>31</v>
      </c>
      <c r="E32" s="15">
        <v>24.15</v>
      </c>
    </row>
    <row r="33" spans="1:5" x14ac:dyDescent="0.25">
      <c r="A33" s="17">
        <v>45718</v>
      </c>
      <c r="B33" s="17" t="s">
        <v>16</v>
      </c>
      <c r="C33" t="s">
        <v>5</v>
      </c>
      <c r="D33" t="s">
        <v>57</v>
      </c>
      <c r="E33" s="15">
        <v>77.42</v>
      </c>
    </row>
    <row r="34" spans="1:5" x14ac:dyDescent="0.25">
      <c r="A34" s="17">
        <v>45719</v>
      </c>
      <c r="B34" s="17" t="s">
        <v>16</v>
      </c>
      <c r="C34" t="s">
        <v>1</v>
      </c>
      <c r="D34" t="s">
        <v>2</v>
      </c>
      <c r="E34" s="15">
        <v>156.22999999999999</v>
      </c>
    </row>
    <row r="35" spans="1:5" x14ac:dyDescent="0.25">
      <c r="A35" s="17">
        <v>45720</v>
      </c>
      <c r="B35" s="17" t="s">
        <v>16</v>
      </c>
      <c r="C35" t="s">
        <v>5</v>
      </c>
      <c r="D35" t="s">
        <v>57</v>
      </c>
      <c r="E35" s="15">
        <v>52.18</v>
      </c>
    </row>
    <row r="36" spans="1:5" x14ac:dyDescent="0.25">
      <c r="A36" s="17">
        <v>45720</v>
      </c>
      <c r="B36" s="17" t="s">
        <v>16</v>
      </c>
      <c r="C36" t="s">
        <v>5</v>
      </c>
      <c r="D36" t="s">
        <v>57</v>
      </c>
      <c r="E36" s="15">
        <v>101.75</v>
      </c>
    </row>
    <row r="37" spans="1:5" x14ac:dyDescent="0.25">
      <c r="A37" s="17">
        <v>45721</v>
      </c>
      <c r="B37" s="17" t="s">
        <v>16</v>
      </c>
      <c r="C37" t="s">
        <v>3</v>
      </c>
      <c r="D37" t="s">
        <v>4</v>
      </c>
      <c r="E37" s="15">
        <v>1200</v>
      </c>
    </row>
    <row r="38" spans="1:5" x14ac:dyDescent="0.25">
      <c r="A38" s="17">
        <v>45724</v>
      </c>
      <c r="B38" s="17" t="s">
        <v>16</v>
      </c>
      <c r="C38" t="s">
        <v>0</v>
      </c>
      <c r="D38" t="s">
        <v>31</v>
      </c>
      <c r="E38" s="15">
        <v>78.34</v>
      </c>
    </row>
    <row r="39" spans="1:5" x14ac:dyDescent="0.25">
      <c r="A39" s="17">
        <v>45726</v>
      </c>
      <c r="B39" s="17" t="s">
        <v>16</v>
      </c>
      <c r="C39" t="s">
        <v>1</v>
      </c>
      <c r="D39" t="s">
        <v>2</v>
      </c>
      <c r="E39" s="15">
        <v>212.75</v>
      </c>
    </row>
    <row r="40" spans="1:5" x14ac:dyDescent="0.25">
      <c r="A40" s="17">
        <v>45726</v>
      </c>
      <c r="B40" s="17" t="s">
        <v>16</v>
      </c>
      <c r="C40" t="s">
        <v>6</v>
      </c>
      <c r="D40" t="s">
        <v>58</v>
      </c>
      <c r="E40" s="15">
        <v>310.93</v>
      </c>
    </row>
    <row r="41" spans="1:5" x14ac:dyDescent="0.25">
      <c r="A41" s="17">
        <v>45729</v>
      </c>
      <c r="B41" s="17" t="s">
        <v>16</v>
      </c>
      <c r="C41" t="s">
        <v>0</v>
      </c>
      <c r="D41" t="s">
        <v>31</v>
      </c>
      <c r="E41" s="15">
        <v>35.35</v>
      </c>
    </row>
    <row r="42" spans="1:5" x14ac:dyDescent="0.25">
      <c r="A42" s="17">
        <v>45731</v>
      </c>
      <c r="B42" s="17" t="s">
        <v>16</v>
      </c>
      <c r="C42" t="s">
        <v>0</v>
      </c>
      <c r="D42" t="s">
        <v>31</v>
      </c>
      <c r="E42" s="15">
        <v>21.64</v>
      </c>
    </row>
    <row r="43" spans="1:5" x14ac:dyDescent="0.25">
      <c r="A43" s="17">
        <v>45733</v>
      </c>
      <c r="B43" s="17" t="s">
        <v>16</v>
      </c>
      <c r="C43" t="s">
        <v>1</v>
      </c>
      <c r="D43" t="s">
        <v>2</v>
      </c>
      <c r="E43" s="15">
        <v>163.63999999999999</v>
      </c>
    </row>
    <row r="44" spans="1:5" x14ac:dyDescent="0.25">
      <c r="A44" s="17">
        <v>45734</v>
      </c>
      <c r="B44" s="17" t="s">
        <v>16</v>
      </c>
      <c r="C44" t="s">
        <v>5</v>
      </c>
      <c r="D44" t="s">
        <v>57</v>
      </c>
      <c r="E44" s="15">
        <v>123.02</v>
      </c>
    </row>
    <row r="45" spans="1:5" x14ac:dyDescent="0.25">
      <c r="A45" s="17">
        <v>45737</v>
      </c>
      <c r="B45" s="17" t="s">
        <v>16</v>
      </c>
      <c r="C45" t="s">
        <v>0</v>
      </c>
      <c r="D45" t="s">
        <v>31</v>
      </c>
      <c r="E45" s="15">
        <v>59.01</v>
      </c>
    </row>
    <row r="46" spans="1:5" x14ac:dyDescent="0.25">
      <c r="A46" s="17">
        <v>45739</v>
      </c>
      <c r="B46" s="17" t="s">
        <v>16</v>
      </c>
      <c r="C46" t="s">
        <v>0</v>
      </c>
      <c r="D46" t="s">
        <v>31</v>
      </c>
      <c r="E46" s="15">
        <v>54.06</v>
      </c>
    </row>
    <row r="47" spans="1:5" x14ac:dyDescent="0.25">
      <c r="A47" s="17">
        <v>45740</v>
      </c>
      <c r="B47" s="17" t="s">
        <v>16</v>
      </c>
      <c r="C47" t="s">
        <v>1</v>
      </c>
      <c r="D47" t="s">
        <v>2</v>
      </c>
      <c r="E47" s="15">
        <v>192.81</v>
      </c>
    </row>
    <row r="48" spans="1:5" x14ac:dyDescent="0.25">
      <c r="A48" s="17">
        <v>45741</v>
      </c>
      <c r="B48" s="17" t="s">
        <v>16</v>
      </c>
      <c r="C48" t="s">
        <v>0</v>
      </c>
      <c r="D48" t="s">
        <v>31</v>
      </c>
      <c r="E48" s="15">
        <v>36.07</v>
      </c>
    </row>
    <row r="49" spans="1:5" x14ac:dyDescent="0.25">
      <c r="A49" s="17">
        <v>45744</v>
      </c>
      <c r="B49" s="17" t="s">
        <v>16</v>
      </c>
      <c r="C49" t="s">
        <v>0</v>
      </c>
      <c r="D49" t="s">
        <v>31</v>
      </c>
      <c r="E49" s="15">
        <v>35.700000000000003</v>
      </c>
    </row>
    <row r="50" spans="1:5" x14ac:dyDescent="0.25">
      <c r="A50" s="17">
        <v>45750</v>
      </c>
      <c r="B50" s="17" t="s">
        <v>17</v>
      </c>
      <c r="C50" t="s">
        <v>0</v>
      </c>
      <c r="D50" t="s">
        <v>31</v>
      </c>
      <c r="E50" s="15">
        <v>23.97</v>
      </c>
    </row>
    <row r="51" spans="1:5" x14ac:dyDescent="0.25">
      <c r="A51" s="17">
        <v>45750</v>
      </c>
      <c r="B51" s="17" t="s">
        <v>17</v>
      </c>
      <c r="C51" t="s">
        <v>5</v>
      </c>
      <c r="D51" t="s">
        <v>57</v>
      </c>
      <c r="E51" s="15">
        <v>124.82</v>
      </c>
    </row>
    <row r="52" spans="1:5" x14ac:dyDescent="0.25">
      <c r="A52" s="17">
        <v>45750</v>
      </c>
      <c r="B52" s="17" t="s">
        <v>17</v>
      </c>
      <c r="C52" t="s">
        <v>1</v>
      </c>
      <c r="D52" t="s">
        <v>2</v>
      </c>
      <c r="E52" s="15">
        <v>143.13999999999999</v>
      </c>
    </row>
    <row r="53" spans="1:5" x14ac:dyDescent="0.25">
      <c r="A53" s="17">
        <v>45752</v>
      </c>
      <c r="B53" s="17" t="s">
        <v>17</v>
      </c>
      <c r="C53" t="s">
        <v>3</v>
      </c>
      <c r="D53" t="s">
        <v>4</v>
      </c>
      <c r="E53" s="15">
        <v>1200</v>
      </c>
    </row>
    <row r="54" spans="1:5" x14ac:dyDescent="0.25">
      <c r="A54" s="17">
        <v>45754</v>
      </c>
      <c r="B54" s="17" t="s">
        <v>17</v>
      </c>
      <c r="C54" t="s">
        <v>5</v>
      </c>
      <c r="D54" t="s">
        <v>57</v>
      </c>
      <c r="E54" s="15">
        <v>108.13</v>
      </c>
    </row>
    <row r="55" spans="1:5" x14ac:dyDescent="0.25">
      <c r="A55" s="17">
        <v>45757</v>
      </c>
      <c r="B55" s="17" t="s">
        <v>17</v>
      </c>
      <c r="C55" t="s">
        <v>6</v>
      </c>
      <c r="D55" t="s">
        <v>58</v>
      </c>
      <c r="E55" s="15">
        <v>249.63</v>
      </c>
    </row>
    <row r="56" spans="1:5" x14ac:dyDescent="0.25">
      <c r="A56" s="17">
        <v>45757</v>
      </c>
      <c r="B56" s="17" t="s">
        <v>17</v>
      </c>
      <c r="C56" t="s">
        <v>1</v>
      </c>
      <c r="D56" t="s">
        <v>2</v>
      </c>
      <c r="E56" s="15">
        <v>122.19</v>
      </c>
    </row>
    <row r="57" spans="1:5" x14ac:dyDescent="0.25">
      <c r="A57" s="17">
        <v>45759</v>
      </c>
      <c r="B57" s="17" t="s">
        <v>17</v>
      </c>
      <c r="C57" t="s">
        <v>0</v>
      </c>
      <c r="D57" t="s">
        <v>31</v>
      </c>
      <c r="E57" s="15">
        <v>39.82</v>
      </c>
    </row>
    <row r="58" spans="1:5" x14ac:dyDescent="0.25">
      <c r="A58" s="17">
        <v>45759</v>
      </c>
      <c r="B58" s="17" t="s">
        <v>17</v>
      </c>
      <c r="C58" t="s">
        <v>0</v>
      </c>
      <c r="D58" t="s">
        <v>31</v>
      </c>
      <c r="E58" s="15">
        <v>62.82</v>
      </c>
    </row>
    <row r="59" spans="1:5" x14ac:dyDescent="0.25">
      <c r="A59" s="17">
        <v>45761</v>
      </c>
      <c r="B59" s="17" t="s">
        <v>17</v>
      </c>
      <c r="C59" t="s">
        <v>0</v>
      </c>
      <c r="D59" t="s">
        <v>31</v>
      </c>
      <c r="E59" s="15">
        <v>78.67</v>
      </c>
    </row>
    <row r="60" spans="1:5" x14ac:dyDescent="0.25">
      <c r="A60" s="17">
        <v>45763</v>
      </c>
      <c r="B60" s="17" t="s">
        <v>17</v>
      </c>
      <c r="C60" t="s">
        <v>0</v>
      </c>
      <c r="D60" t="s">
        <v>31</v>
      </c>
      <c r="E60" s="15">
        <v>42.81</v>
      </c>
    </row>
    <row r="61" spans="1:5" x14ac:dyDescent="0.25">
      <c r="A61" s="17">
        <v>45764</v>
      </c>
      <c r="B61" s="17" t="s">
        <v>17</v>
      </c>
      <c r="C61" t="s">
        <v>1</v>
      </c>
      <c r="D61" t="s">
        <v>2</v>
      </c>
      <c r="E61" s="15">
        <v>179.28</v>
      </c>
    </row>
    <row r="62" spans="1:5" x14ac:dyDescent="0.25">
      <c r="A62" s="17">
        <v>45766</v>
      </c>
      <c r="B62" s="17" t="s">
        <v>17</v>
      </c>
      <c r="C62" t="s">
        <v>5</v>
      </c>
      <c r="D62" t="s">
        <v>57</v>
      </c>
      <c r="E62" s="15">
        <v>114.82</v>
      </c>
    </row>
    <row r="63" spans="1:5" x14ac:dyDescent="0.25">
      <c r="A63" s="17">
        <v>45771</v>
      </c>
      <c r="B63" s="17" t="s">
        <v>17</v>
      </c>
      <c r="C63" t="s">
        <v>1</v>
      </c>
      <c r="D63" t="s">
        <v>2</v>
      </c>
      <c r="E63" s="15">
        <v>175.28</v>
      </c>
    </row>
    <row r="64" spans="1:5" x14ac:dyDescent="0.25">
      <c r="A64" s="17">
        <v>45771</v>
      </c>
      <c r="B64" s="17" t="s">
        <v>17</v>
      </c>
      <c r="C64" t="s">
        <v>5</v>
      </c>
      <c r="D64" t="s">
        <v>57</v>
      </c>
      <c r="E64" s="15">
        <v>31.69</v>
      </c>
    </row>
    <row r="65" spans="1:5" x14ac:dyDescent="0.25">
      <c r="A65" s="17">
        <v>45771</v>
      </c>
      <c r="B65" s="17" t="s">
        <v>17</v>
      </c>
      <c r="C65" t="s">
        <v>0</v>
      </c>
      <c r="D65" t="s">
        <v>31</v>
      </c>
      <c r="E65" s="15">
        <v>64.94</v>
      </c>
    </row>
    <row r="66" spans="1:5" x14ac:dyDescent="0.25">
      <c r="A66" s="17">
        <v>45774</v>
      </c>
      <c r="B66" s="17" t="s">
        <v>17</v>
      </c>
      <c r="C66" t="s">
        <v>5</v>
      </c>
      <c r="D66" t="s">
        <v>57</v>
      </c>
      <c r="E66" s="15">
        <v>38.89</v>
      </c>
    </row>
    <row r="67" spans="1:5" x14ac:dyDescent="0.25">
      <c r="A67" s="17">
        <v>45774</v>
      </c>
      <c r="B67" s="17" t="s">
        <v>17</v>
      </c>
      <c r="C67" t="s">
        <v>0</v>
      </c>
      <c r="D67" t="s">
        <v>31</v>
      </c>
      <c r="E67" s="15">
        <v>57.09</v>
      </c>
    </row>
    <row r="68" spans="1:5" x14ac:dyDescent="0.25">
      <c r="A68" s="17">
        <v>45775</v>
      </c>
      <c r="B68" s="17" t="s">
        <v>17</v>
      </c>
      <c r="C68" t="s">
        <v>5</v>
      </c>
      <c r="D68" t="s">
        <v>57</v>
      </c>
      <c r="E68" s="15">
        <v>133.57</v>
      </c>
    </row>
    <row r="69" spans="1:5" x14ac:dyDescent="0.25">
      <c r="A69" s="17">
        <v>45780</v>
      </c>
      <c r="B69" s="17" t="s">
        <v>18</v>
      </c>
      <c r="C69" t="s">
        <v>1</v>
      </c>
      <c r="D69" t="s">
        <v>2</v>
      </c>
      <c r="E69" s="15">
        <v>153.04</v>
      </c>
    </row>
    <row r="70" spans="1:5" x14ac:dyDescent="0.25">
      <c r="A70" s="17">
        <v>45781</v>
      </c>
      <c r="B70" s="17" t="s">
        <v>18</v>
      </c>
      <c r="C70" t="s">
        <v>5</v>
      </c>
      <c r="D70" t="s">
        <v>57</v>
      </c>
      <c r="E70" s="15">
        <v>138.91</v>
      </c>
    </row>
    <row r="71" spans="1:5" x14ac:dyDescent="0.25">
      <c r="A71" s="17">
        <v>45782</v>
      </c>
      <c r="B71" s="17" t="s">
        <v>18</v>
      </c>
      <c r="C71" t="s">
        <v>3</v>
      </c>
      <c r="D71" t="s">
        <v>4</v>
      </c>
      <c r="E71" s="15">
        <v>1200</v>
      </c>
    </row>
    <row r="72" spans="1:5" x14ac:dyDescent="0.25">
      <c r="A72" s="17">
        <v>45784</v>
      </c>
      <c r="B72" s="17" t="s">
        <v>18</v>
      </c>
      <c r="C72" t="s">
        <v>0</v>
      </c>
      <c r="D72" t="s">
        <v>31</v>
      </c>
      <c r="E72" s="15">
        <v>45.78</v>
      </c>
    </row>
    <row r="73" spans="1:5" x14ac:dyDescent="0.25">
      <c r="A73" s="17">
        <v>45784</v>
      </c>
      <c r="B73" s="17" t="s">
        <v>18</v>
      </c>
      <c r="C73" t="s">
        <v>5</v>
      </c>
      <c r="D73" t="s">
        <v>57</v>
      </c>
      <c r="E73" s="15">
        <v>87.04</v>
      </c>
    </row>
    <row r="74" spans="1:5" x14ac:dyDescent="0.25">
      <c r="A74" s="17">
        <v>45787</v>
      </c>
      <c r="B74" s="17" t="s">
        <v>18</v>
      </c>
      <c r="C74" t="s">
        <v>1</v>
      </c>
      <c r="D74" t="s">
        <v>2</v>
      </c>
      <c r="E74" s="15">
        <v>155.85</v>
      </c>
    </row>
    <row r="75" spans="1:5" x14ac:dyDescent="0.25">
      <c r="A75" s="17">
        <v>45787</v>
      </c>
      <c r="B75" s="17" t="s">
        <v>18</v>
      </c>
      <c r="C75" t="s">
        <v>5</v>
      </c>
      <c r="D75" t="s">
        <v>57</v>
      </c>
      <c r="E75" s="15">
        <v>82.72</v>
      </c>
    </row>
    <row r="76" spans="1:5" x14ac:dyDescent="0.25">
      <c r="A76" s="17">
        <v>45787</v>
      </c>
      <c r="B76" s="17" t="s">
        <v>18</v>
      </c>
      <c r="C76" t="s">
        <v>6</v>
      </c>
      <c r="D76" t="s">
        <v>58</v>
      </c>
      <c r="E76" s="15">
        <v>292.17</v>
      </c>
    </row>
    <row r="77" spans="1:5" x14ac:dyDescent="0.25">
      <c r="A77" s="17">
        <v>45788</v>
      </c>
      <c r="B77" s="17" t="s">
        <v>18</v>
      </c>
      <c r="C77" t="s">
        <v>0</v>
      </c>
      <c r="D77" t="s">
        <v>31</v>
      </c>
      <c r="E77" s="15">
        <v>30.23</v>
      </c>
    </row>
    <row r="78" spans="1:5" x14ac:dyDescent="0.25">
      <c r="A78" s="17">
        <v>45790</v>
      </c>
      <c r="B78" s="17" t="s">
        <v>18</v>
      </c>
      <c r="C78" t="s">
        <v>0</v>
      </c>
      <c r="D78" t="s">
        <v>31</v>
      </c>
      <c r="E78" s="15">
        <v>20.77</v>
      </c>
    </row>
    <row r="79" spans="1:5" x14ac:dyDescent="0.25">
      <c r="A79" s="17">
        <v>45790</v>
      </c>
      <c r="B79" s="17" t="s">
        <v>18</v>
      </c>
      <c r="C79" t="s">
        <v>0</v>
      </c>
      <c r="D79" t="s">
        <v>31</v>
      </c>
      <c r="E79" s="15">
        <v>37.17</v>
      </c>
    </row>
    <row r="80" spans="1:5" x14ac:dyDescent="0.25">
      <c r="A80" s="17">
        <v>45794</v>
      </c>
      <c r="B80" s="17" t="s">
        <v>18</v>
      </c>
      <c r="C80" t="s">
        <v>1</v>
      </c>
      <c r="D80" t="s">
        <v>2</v>
      </c>
      <c r="E80" s="15">
        <v>125.66</v>
      </c>
    </row>
    <row r="81" spans="1:5" x14ac:dyDescent="0.25">
      <c r="A81" s="17">
        <v>45796</v>
      </c>
      <c r="B81" s="17" t="s">
        <v>18</v>
      </c>
      <c r="C81" t="s">
        <v>5</v>
      </c>
      <c r="D81" t="s">
        <v>57</v>
      </c>
      <c r="E81" s="15">
        <v>33.770000000000003</v>
      </c>
    </row>
    <row r="82" spans="1:5" x14ac:dyDescent="0.25">
      <c r="A82" s="17">
        <v>45801</v>
      </c>
      <c r="B82" s="17" t="s">
        <v>18</v>
      </c>
      <c r="C82" t="s">
        <v>1</v>
      </c>
      <c r="D82" t="s">
        <v>2</v>
      </c>
      <c r="E82" s="15">
        <v>219.49</v>
      </c>
    </row>
    <row r="83" spans="1:5" x14ac:dyDescent="0.25">
      <c r="A83" s="17">
        <v>45804</v>
      </c>
      <c r="B83" s="17" t="s">
        <v>18</v>
      </c>
      <c r="C83" t="s">
        <v>0</v>
      </c>
      <c r="D83" t="s">
        <v>31</v>
      </c>
      <c r="E83" s="15">
        <v>67.11</v>
      </c>
    </row>
    <row r="84" spans="1:5" x14ac:dyDescent="0.25">
      <c r="A84" s="17">
        <v>45805</v>
      </c>
      <c r="B84" s="17" t="s">
        <v>18</v>
      </c>
      <c r="C84" t="s">
        <v>0</v>
      </c>
      <c r="D84" t="s">
        <v>31</v>
      </c>
      <c r="E84" s="15">
        <v>84.73</v>
      </c>
    </row>
    <row r="85" spans="1:5" x14ac:dyDescent="0.25">
      <c r="A85" s="17">
        <v>45809</v>
      </c>
      <c r="B85" s="17" t="s">
        <v>19</v>
      </c>
      <c r="C85" t="s">
        <v>5</v>
      </c>
      <c r="D85" t="s">
        <v>57</v>
      </c>
      <c r="E85" s="15">
        <v>62.66</v>
      </c>
    </row>
    <row r="86" spans="1:5" x14ac:dyDescent="0.25">
      <c r="A86" s="17">
        <v>45811</v>
      </c>
      <c r="B86" s="17" t="s">
        <v>19</v>
      </c>
      <c r="C86" t="s">
        <v>5</v>
      </c>
      <c r="D86" t="s">
        <v>57</v>
      </c>
      <c r="E86" s="15">
        <v>30.83</v>
      </c>
    </row>
    <row r="87" spans="1:5" x14ac:dyDescent="0.25">
      <c r="A87" s="17">
        <v>45811</v>
      </c>
      <c r="B87" s="17" t="s">
        <v>19</v>
      </c>
      <c r="C87" t="s">
        <v>1</v>
      </c>
      <c r="D87" t="s">
        <v>2</v>
      </c>
      <c r="E87" s="15">
        <v>183.91</v>
      </c>
    </row>
    <row r="88" spans="1:5" x14ac:dyDescent="0.25">
      <c r="A88" s="17">
        <v>45813</v>
      </c>
      <c r="B88" s="17" t="s">
        <v>19</v>
      </c>
      <c r="C88" t="s">
        <v>0</v>
      </c>
      <c r="D88" t="s">
        <v>31</v>
      </c>
      <c r="E88" s="15">
        <v>66.930000000000007</v>
      </c>
    </row>
    <row r="89" spans="1:5" x14ac:dyDescent="0.25">
      <c r="A89" s="17">
        <v>45813</v>
      </c>
      <c r="B89" s="17" t="s">
        <v>19</v>
      </c>
      <c r="C89" t="s">
        <v>3</v>
      </c>
      <c r="D89" t="s">
        <v>4</v>
      </c>
      <c r="E89" s="15">
        <v>1200</v>
      </c>
    </row>
    <row r="90" spans="1:5" x14ac:dyDescent="0.25">
      <c r="A90" s="17">
        <v>45818</v>
      </c>
      <c r="B90" s="17" t="s">
        <v>19</v>
      </c>
      <c r="C90" t="s">
        <v>0</v>
      </c>
      <c r="D90" t="s">
        <v>31</v>
      </c>
      <c r="E90" s="15">
        <v>40.32</v>
      </c>
    </row>
    <row r="91" spans="1:5" x14ac:dyDescent="0.25">
      <c r="A91" s="17">
        <v>45818</v>
      </c>
      <c r="B91" s="17" t="s">
        <v>19</v>
      </c>
      <c r="C91" t="s">
        <v>6</v>
      </c>
      <c r="D91" t="s">
        <v>58</v>
      </c>
      <c r="E91" s="15">
        <v>230.55</v>
      </c>
    </row>
    <row r="92" spans="1:5" x14ac:dyDescent="0.25">
      <c r="A92" s="17">
        <v>45818</v>
      </c>
      <c r="B92" s="17" t="s">
        <v>19</v>
      </c>
      <c r="C92" t="s">
        <v>1</v>
      </c>
      <c r="D92" t="s">
        <v>2</v>
      </c>
      <c r="E92" s="15">
        <v>150.58000000000001</v>
      </c>
    </row>
    <row r="93" spans="1:5" x14ac:dyDescent="0.25">
      <c r="A93" s="17">
        <v>45823</v>
      </c>
      <c r="B93" s="17" t="s">
        <v>19</v>
      </c>
      <c r="C93" t="s">
        <v>0</v>
      </c>
      <c r="D93" t="s">
        <v>31</v>
      </c>
      <c r="E93" s="15">
        <v>27.62</v>
      </c>
    </row>
    <row r="94" spans="1:5" x14ac:dyDescent="0.25">
      <c r="A94" s="17">
        <v>45825</v>
      </c>
      <c r="B94" s="17" t="s">
        <v>19</v>
      </c>
      <c r="C94" t="s">
        <v>0</v>
      </c>
      <c r="D94" t="s">
        <v>31</v>
      </c>
      <c r="E94" s="15">
        <v>19.87</v>
      </c>
    </row>
    <row r="95" spans="1:5" x14ac:dyDescent="0.25">
      <c r="A95" s="17">
        <v>45825</v>
      </c>
      <c r="B95" s="17" t="s">
        <v>19</v>
      </c>
      <c r="C95" t="s">
        <v>1</v>
      </c>
      <c r="D95" t="s">
        <v>2</v>
      </c>
      <c r="E95" s="15">
        <v>178.31</v>
      </c>
    </row>
    <row r="96" spans="1:5" x14ac:dyDescent="0.25">
      <c r="A96" s="17">
        <v>45828</v>
      </c>
      <c r="B96" s="17" t="s">
        <v>19</v>
      </c>
      <c r="C96" t="s">
        <v>5</v>
      </c>
      <c r="D96" t="s">
        <v>57</v>
      </c>
      <c r="E96" s="15">
        <v>72.31</v>
      </c>
    </row>
    <row r="97" spans="1:5" x14ac:dyDescent="0.25">
      <c r="A97" s="17">
        <v>45832</v>
      </c>
      <c r="B97" s="17" t="s">
        <v>19</v>
      </c>
      <c r="C97" t="s">
        <v>1</v>
      </c>
      <c r="D97" t="s">
        <v>2</v>
      </c>
      <c r="E97" s="15">
        <v>243.66</v>
      </c>
    </row>
    <row r="98" spans="1:5" x14ac:dyDescent="0.25">
      <c r="A98" s="17">
        <v>45832</v>
      </c>
      <c r="B98" s="17" t="s">
        <v>19</v>
      </c>
      <c r="C98" t="s">
        <v>0</v>
      </c>
      <c r="D98" t="s">
        <v>31</v>
      </c>
      <c r="E98" s="15">
        <v>67.73</v>
      </c>
    </row>
    <row r="99" spans="1:5" x14ac:dyDescent="0.25">
      <c r="A99" s="17">
        <v>45833</v>
      </c>
      <c r="B99" s="17" t="s">
        <v>19</v>
      </c>
      <c r="C99" t="s">
        <v>5</v>
      </c>
      <c r="D99" t="s">
        <v>57</v>
      </c>
      <c r="E99" s="15">
        <v>68.16</v>
      </c>
    </row>
    <row r="100" spans="1:5" x14ac:dyDescent="0.25">
      <c r="A100" s="17">
        <v>45834</v>
      </c>
      <c r="B100" s="17" t="s">
        <v>19</v>
      </c>
      <c r="C100" t="s">
        <v>5</v>
      </c>
      <c r="D100" t="s">
        <v>57</v>
      </c>
      <c r="E100" s="15">
        <v>44.65</v>
      </c>
    </row>
    <row r="101" spans="1:5" x14ac:dyDescent="0.25">
      <c r="A101" s="17">
        <v>45834</v>
      </c>
      <c r="B101" s="17" t="s">
        <v>19</v>
      </c>
      <c r="C101" t="s">
        <v>0</v>
      </c>
      <c r="D101" t="s">
        <v>31</v>
      </c>
      <c r="E101" s="15">
        <v>87.18</v>
      </c>
    </row>
    <row r="102" spans="1:5" x14ac:dyDescent="0.25">
      <c r="A102" s="17">
        <v>45835</v>
      </c>
      <c r="B102" s="17" t="s">
        <v>19</v>
      </c>
      <c r="C102" t="s">
        <v>5</v>
      </c>
      <c r="D102" t="s">
        <v>57</v>
      </c>
      <c r="E102" s="15">
        <v>81.25</v>
      </c>
    </row>
    <row r="103" spans="1:5" x14ac:dyDescent="0.25">
      <c r="A103" s="17">
        <v>45835</v>
      </c>
      <c r="B103" s="17" t="s">
        <v>19</v>
      </c>
      <c r="C103" t="s">
        <v>0</v>
      </c>
      <c r="D103" t="s">
        <v>31</v>
      </c>
      <c r="E103" s="15">
        <v>46.31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A523-D4B1-4FDC-88D4-1B96F205CB81}">
  <dimension ref="A1:K12"/>
  <sheetViews>
    <sheetView showGridLines="0" workbookViewId="0">
      <selection activeCell="K4" sqref="K4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4" width="17.7109375" bestFit="1" customWidth="1"/>
    <col min="5" max="5" width="5.5703125" bestFit="1" customWidth="1"/>
    <col min="7" max="7" width="14.140625" bestFit="1" customWidth="1"/>
    <col min="8" max="8" width="12.140625" bestFit="1" customWidth="1"/>
    <col min="10" max="11" width="10.5703125" bestFit="1" customWidth="1"/>
  </cols>
  <sheetData>
    <row r="1" spans="1:11" ht="29.45" customHeight="1" x14ac:dyDescent="0.4">
      <c r="A1" s="31" t="s">
        <v>37</v>
      </c>
      <c r="B1" s="42"/>
      <c r="C1" s="42"/>
      <c r="D1" s="42"/>
      <c r="E1" s="32"/>
      <c r="G1" s="31" t="s">
        <v>38</v>
      </c>
      <c r="H1" s="32"/>
      <c r="J1" s="31" t="s">
        <v>56</v>
      </c>
      <c r="K1" s="32"/>
    </row>
    <row r="2" spans="1:11" x14ac:dyDescent="0.25">
      <c r="A2" s="33" t="s">
        <v>32</v>
      </c>
      <c r="B2" s="34"/>
      <c r="C2" s="34"/>
      <c r="D2" s="34"/>
      <c r="E2" s="35"/>
      <c r="G2" s="11" t="s">
        <v>11</v>
      </c>
      <c r="H2" s="45">
        <v>4000</v>
      </c>
      <c r="J2" s="19" t="s">
        <v>5</v>
      </c>
      <c r="K2" s="44">
        <v>350</v>
      </c>
    </row>
    <row r="3" spans="1:11" x14ac:dyDescent="0.25">
      <c r="A3" s="18">
        <v>45678</v>
      </c>
      <c r="B3" s="20" t="s">
        <v>0</v>
      </c>
      <c r="C3" s="20" t="s">
        <v>31</v>
      </c>
      <c r="D3" s="24">
        <v>0</v>
      </c>
      <c r="E3" s="23"/>
      <c r="G3" s="6"/>
      <c r="H3" s="9"/>
      <c r="J3" s="19" t="s">
        <v>0</v>
      </c>
      <c r="K3" s="44">
        <v>200</v>
      </c>
    </row>
    <row r="4" spans="1:11" x14ac:dyDescent="0.25">
      <c r="A4" s="33" t="s">
        <v>33</v>
      </c>
      <c r="B4" s="34"/>
      <c r="C4" s="34"/>
      <c r="D4" s="34"/>
      <c r="E4" s="35"/>
      <c r="G4" s="11" t="s">
        <v>34</v>
      </c>
      <c r="H4" s="10" t="s">
        <v>35</v>
      </c>
    </row>
    <row r="5" spans="1:11" x14ac:dyDescent="0.25">
      <c r="A5" s="18">
        <v>45684</v>
      </c>
      <c r="B5" s="20" t="s">
        <v>0</v>
      </c>
      <c r="C5" s="20" t="s">
        <v>24</v>
      </c>
      <c r="D5" s="20">
        <v>60.89</v>
      </c>
      <c r="E5" s="23"/>
      <c r="G5" s="19" t="s">
        <v>14</v>
      </c>
      <c r="H5" s="44">
        <f>$H$2-SUMIFS('Dados Tratados'!$E$2:$E$103,'Dados Tratados'!$B$2:$B$103,G5)</f>
        <v>1172.0500000000002</v>
      </c>
    </row>
    <row r="6" spans="1:11" x14ac:dyDescent="0.25">
      <c r="A6" s="21">
        <v>45719</v>
      </c>
      <c r="B6" s="22" t="s">
        <v>1</v>
      </c>
      <c r="C6" s="22" t="s">
        <v>2</v>
      </c>
      <c r="D6" s="22">
        <v>156.22999999999999</v>
      </c>
      <c r="E6" s="23"/>
      <c r="G6" s="19" t="s">
        <v>15</v>
      </c>
      <c r="H6" s="44">
        <f>$H$2-SUMIFS('Dados Tratados'!$E$2:$E$103,'Dados Tratados'!$B$2:$B$103,G6)</f>
        <v>1259.2500000000005</v>
      </c>
    </row>
    <row r="7" spans="1:11" x14ac:dyDescent="0.25">
      <c r="A7" s="7"/>
      <c r="E7" s="8"/>
      <c r="G7" s="19" t="s">
        <v>16</v>
      </c>
      <c r="H7" s="44">
        <f>$H$2-SUMIFS('Dados Tratados'!$E$2:$E$103,'Dados Tratados'!$B$2:$B$103,G7)</f>
        <v>1089.1000000000004</v>
      </c>
    </row>
    <row r="8" spans="1:11" x14ac:dyDescent="0.25">
      <c r="A8" s="7"/>
      <c r="E8" s="8"/>
      <c r="G8" s="19" t="s">
        <v>17</v>
      </c>
      <c r="H8" s="44">
        <f>$H$2-SUMIFS('Dados Tratados'!$E$2:$E$103,'Dados Tratados'!$B$2:$B$103,G8)</f>
        <v>1008.4399999999991</v>
      </c>
    </row>
    <row r="9" spans="1:11" x14ac:dyDescent="0.25">
      <c r="A9" s="33" t="s">
        <v>42</v>
      </c>
      <c r="B9" s="34"/>
      <c r="C9" s="34"/>
      <c r="D9" s="34"/>
      <c r="E9" s="35"/>
      <c r="G9" s="19" t="s">
        <v>18</v>
      </c>
      <c r="H9" s="44">
        <f>$H$2-SUMIFS('Dados Tratados'!$E$2:$E$103,'Dados Tratados'!$B$2:$B$103,G9)</f>
        <v>1225.5600000000004</v>
      </c>
    </row>
    <row r="10" spans="1:11" x14ac:dyDescent="0.25">
      <c r="A10" s="39" t="s">
        <v>41</v>
      </c>
      <c r="B10" s="40"/>
      <c r="C10" s="40"/>
      <c r="D10" s="40"/>
      <c r="E10" s="41"/>
      <c r="G10" s="19" t="s">
        <v>19</v>
      </c>
      <c r="H10" s="44">
        <f>$H$2-SUMIFS('Dados Tratados'!$E$2:$E$103,'Dados Tratados'!$B$2:$B$103,G10)</f>
        <v>1097.170000000001</v>
      </c>
    </row>
    <row r="11" spans="1:11" x14ac:dyDescent="0.25">
      <c r="A11" s="36" t="s">
        <v>44</v>
      </c>
      <c r="B11" s="37"/>
      <c r="C11" s="37"/>
      <c r="D11" s="37"/>
      <c r="E11" s="38"/>
    </row>
    <row r="12" spans="1:11" x14ac:dyDescent="0.25">
      <c r="A12" s="36" t="s">
        <v>45</v>
      </c>
      <c r="B12" s="37"/>
      <c r="C12" s="37"/>
      <c r="D12" s="37"/>
      <c r="E12" s="38"/>
    </row>
  </sheetData>
  <mergeCells count="9">
    <mergeCell ref="J1:K1"/>
    <mergeCell ref="G1:H1"/>
    <mergeCell ref="A2:E2"/>
    <mergeCell ref="A4:E4"/>
    <mergeCell ref="A11:E11"/>
    <mergeCell ref="A12:E12"/>
    <mergeCell ref="A9:E9"/>
    <mergeCell ref="A10:E10"/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9964-3F39-498B-901E-D08CCD537C34}">
  <dimension ref="A1:S34"/>
  <sheetViews>
    <sheetView showGridLines="0" workbookViewId="0">
      <selection activeCell="E32" sqref="E32"/>
    </sheetView>
  </sheetViews>
  <sheetFormatPr defaultRowHeight="15" x14ac:dyDescent="0.25"/>
  <cols>
    <col min="1" max="1" width="26.140625" bestFit="1" customWidth="1"/>
    <col min="2" max="2" width="18.140625" bestFit="1" customWidth="1"/>
    <col min="3" max="4" width="12.28515625" bestFit="1" customWidth="1"/>
    <col min="5" max="5" width="18.28515625" bestFit="1" customWidth="1"/>
    <col min="6" max="8" width="12.28515625" bestFit="1" customWidth="1"/>
    <col min="9" max="9" width="10.42578125" bestFit="1" customWidth="1"/>
    <col min="10" max="78" width="10.28515625" bestFit="1" customWidth="1"/>
    <col min="79" max="79" width="10" bestFit="1" customWidth="1"/>
  </cols>
  <sheetData>
    <row r="1" spans="1:19" ht="29.45" customHeight="1" x14ac:dyDescent="0.45">
      <c r="A1" s="43" t="s">
        <v>39</v>
      </c>
      <c r="B1" s="43"/>
      <c r="C1" s="43"/>
      <c r="D1" s="43"/>
      <c r="E1" s="43"/>
      <c r="F1" s="12"/>
      <c r="G1" s="12"/>
      <c r="H1" s="12"/>
      <c r="N1" s="43" t="s">
        <v>40</v>
      </c>
      <c r="O1" s="43"/>
      <c r="P1" s="43"/>
      <c r="Q1" s="43"/>
      <c r="R1" s="43"/>
      <c r="S1" s="43"/>
    </row>
    <row r="2" spans="1:19" x14ac:dyDescent="0.25">
      <c r="A2" s="2" t="s">
        <v>59</v>
      </c>
      <c r="B2" t="s">
        <v>61</v>
      </c>
      <c r="D2" s="2" t="s">
        <v>13</v>
      </c>
      <c r="E2" t="s">
        <v>62</v>
      </c>
    </row>
    <row r="3" spans="1:19" x14ac:dyDescent="0.25">
      <c r="A3" s="3" t="s">
        <v>14</v>
      </c>
      <c r="B3" s="4">
        <v>2827.95</v>
      </c>
      <c r="D3" s="3" t="s">
        <v>1</v>
      </c>
      <c r="E3" s="4">
        <v>4323.01</v>
      </c>
    </row>
    <row r="4" spans="1:19" x14ac:dyDescent="0.25">
      <c r="A4" s="3" t="s">
        <v>15</v>
      </c>
      <c r="B4" s="4">
        <v>2740.7499999999995</v>
      </c>
      <c r="D4" s="3" t="s">
        <v>6</v>
      </c>
      <c r="E4" s="4">
        <v>1574.68</v>
      </c>
    </row>
    <row r="5" spans="1:19" x14ac:dyDescent="0.25">
      <c r="A5" s="3" t="s">
        <v>16</v>
      </c>
      <c r="B5" s="4">
        <v>2910.8999999999996</v>
      </c>
      <c r="D5" s="3" t="s">
        <v>5</v>
      </c>
      <c r="E5" s="4">
        <v>2417.0299999999997</v>
      </c>
    </row>
    <row r="6" spans="1:19" x14ac:dyDescent="0.25">
      <c r="A6" s="3" t="s">
        <v>17</v>
      </c>
      <c r="B6" s="4">
        <v>2991.5600000000009</v>
      </c>
      <c r="D6" s="3" t="s">
        <v>3</v>
      </c>
      <c r="E6" s="4">
        <v>7200</v>
      </c>
    </row>
    <row r="7" spans="1:19" x14ac:dyDescent="0.25">
      <c r="A7" s="3" t="s">
        <v>18</v>
      </c>
      <c r="B7" s="4">
        <v>2774.4399999999996</v>
      </c>
      <c r="D7" s="3" t="s">
        <v>0</v>
      </c>
      <c r="E7" s="4">
        <v>1633.71</v>
      </c>
    </row>
    <row r="8" spans="1:19" x14ac:dyDescent="0.25">
      <c r="A8" s="3" t="s">
        <v>19</v>
      </c>
      <c r="B8" s="4">
        <v>2902.829999999999</v>
      </c>
    </row>
    <row r="10" spans="1:19" x14ac:dyDescent="0.25">
      <c r="A10" s="2" t="s">
        <v>60</v>
      </c>
    </row>
    <row r="11" spans="1:19" x14ac:dyDescent="0.25">
      <c r="B11" t="s">
        <v>1</v>
      </c>
      <c r="C11" t="s">
        <v>6</v>
      </c>
      <c r="D11" t="s">
        <v>5</v>
      </c>
      <c r="E11" t="s">
        <v>3</v>
      </c>
      <c r="F11" t="s">
        <v>0</v>
      </c>
    </row>
    <row r="12" spans="1:19" x14ac:dyDescent="0.25">
      <c r="A12" s="3" t="s">
        <v>14</v>
      </c>
      <c r="B12" s="46">
        <v>821.23</v>
      </c>
      <c r="C12" s="46">
        <v>257.45</v>
      </c>
      <c r="D12" s="46">
        <v>388.65000000000003</v>
      </c>
      <c r="E12" s="46">
        <v>1200</v>
      </c>
      <c r="F12" s="46">
        <v>160.62</v>
      </c>
    </row>
    <row r="13" spans="1:19" x14ac:dyDescent="0.25">
      <c r="A13" s="3" t="s">
        <v>15</v>
      </c>
      <c r="B13" s="46">
        <v>745.95999999999992</v>
      </c>
      <c r="C13" s="46">
        <v>233.95</v>
      </c>
      <c r="D13" s="46">
        <v>419.78999999999996</v>
      </c>
      <c r="E13" s="46">
        <v>1200</v>
      </c>
      <c r="F13" s="46">
        <v>141.04999999999998</v>
      </c>
    </row>
    <row r="14" spans="1:19" x14ac:dyDescent="0.25">
      <c r="A14" s="3" t="s">
        <v>16</v>
      </c>
      <c r="B14" s="46">
        <v>725.43000000000006</v>
      </c>
      <c r="C14" s="46">
        <v>310.93</v>
      </c>
      <c r="D14" s="46">
        <v>354.37</v>
      </c>
      <c r="E14" s="46">
        <v>1200</v>
      </c>
      <c r="F14" s="46">
        <v>320.16999999999996</v>
      </c>
    </row>
    <row r="15" spans="1:19" x14ac:dyDescent="0.25">
      <c r="A15" s="3" t="s">
        <v>17</v>
      </c>
      <c r="B15" s="46">
        <v>619.89</v>
      </c>
      <c r="C15" s="46">
        <v>249.63</v>
      </c>
      <c r="D15" s="46">
        <v>551.91999999999996</v>
      </c>
      <c r="E15" s="46">
        <v>1200</v>
      </c>
      <c r="F15" s="46">
        <v>370.12</v>
      </c>
    </row>
    <row r="16" spans="1:19" x14ac:dyDescent="0.25">
      <c r="A16" s="3" t="s">
        <v>18</v>
      </c>
      <c r="B16" s="46">
        <v>654.04</v>
      </c>
      <c r="C16" s="46">
        <v>292.17</v>
      </c>
      <c r="D16" s="46">
        <v>342.43999999999994</v>
      </c>
      <c r="E16" s="46">
        <v>1200</v>
      </c>
      <c r="F16" s="46">
        <v>285.79000000000002</v>
      </c>
    </row>
    <row r="17" spans="1:8" x14ac:dyDescent="0.25">
      <c r="A17" s="3" t="s">
        <v>19</v>
      </c>
      <c r="B17" s="46">
        <v>756.45999999999992</v>
      </c>
      <c r="C17" s="46">
        <v>230.55</v>
      </c>
      <c r="D17" s="46">
        <v>359.86</v>
      </c>
      <c r="E17" s="46">
        <v>1200</v>
      </c>
      <c r="F17" s="46">
        <v>355.96000000000004</v>
      </c>
    </row>
    <row r="19" spans="1:8" x14ac:dyDescent="0.25">
      <c r="A19" s="2" t="s">
        <v>59</v>
      </c>
      <c r="B19" t="s">
        <v>63</v>
      </c>
    </row>
    <row r="20" spans="1:8" x14ac:dyDescent="0.25">
      <c r="A20" s="3" t="s">
        <v>14</v>
      </c>
      <c r="B20" s="46">
        <v>1172.0500000000002</v>
      </c>
    </row>
    <row r="21" spans="1:8" x14ac:dyDescent="0.25">
      <c r="A21" s="3" t="s">
        <v>15</v>
      </c>
      <c r="B21" s="46">
        <v>1259.2500000000005</v>
      </c>
    </row>
    <row r="22" spans="1:8" x14ac:dyDescent="0.25">
      <c r="A22" s="3" t="s">
        <v>16</v>
      </c>
      <c r="B22" s="46">
        <v>1089.1000000000004</v>
      </c>
    </row>
    <row r="23" spans="1:8" x14ac:dyDescent="0.25">
      <c r="A23" s="3" t="s">
        <v>17</v>
      </c>
      <c r="B23" s="46">
        <v>1008.4399999999991</v>
      </c>
    </row>
    <row r="24" spans="1:8" x14ac:dyDescent="0.25">
      <c r="A24" s="3" t="s">
        <v>18</v>
      </c>
      <c r="B24" s="46">
        <v>1225.5600000000004</v>
      </c>
    </row>
    <row r="25" spans="1:8" x14ac:dyDescent="0.25">
      <c r="A25" s="3" t="s">
        <v>19</v>
      </c>
      <c r="B25" s="46">
        <v>1097.170000000001</v>
      </c>
    </row>
    <row r="27" spans="1:8" x14ac:dyDescent="0.25">
      <c r="A27" s="2" t="s">
        <v>12</v>
      </c>
    </row>
    <row r="28" spans="1:8" x14ac:dyDescent="0.25"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</row>
    <row r="29" spans="1:8" x14ac:dyDescent="0.25">
      <c r="A29" t="s">
        <v>1</v>
      </c>
      <c r="B29" t="s">
        <v>2</v>
      </c>
      <c r="C29" s="46">
        <v>821.23</v>
      </c>
      <c r="D29" s="46">
        <v>745.95999999999992</v>
      </c>
      <c r="E29" s="46">
        <v>725.43000000000006</v>
      </c>
      <c r="F29" s="46">
        <v>619.89</v>
      </c>
      <c r="G29" s="46">
        <v>654.04</v>
      </c>
      <c r="H29" s="46">
        <v>756.45999999999992</v>
      </c>
    </row>
    <row r="30" spans="1:8" x14ac:dyDescent="0.25">
      <c r="A30" t="s">
        <v>6</v>
      </c>
      <c r="B30" t="s">
        <v>58</v>
      </c>
      <c r="C30" s="46">
        <v>257.45</v>
      </c>
      <c r="D30" s="46">
        <v>233.95</v>
      </c>
      <c r="E30" s="46">
        <v>310.93</v>
      </c>
      <c r="F30" s="46">
        <v>249.63</v>
      </c>
      <c r="G30" s="46">
        <v>292.17</v>
      </c>
      <c r="H30" s="46">
        <v>230.55</v>
      </c>
    </row>
    <row r="31" spans="1:8" x14ac:dyDescent="0.25">
      <c r="A31" t="s">
        <v>5</v>
      </c>
      <c r="B31" t="s">
        <v>57</v>
      </c>
      <c r="C31" s="46">
        <v>388.65000000000003</v>
      </c>
      <c r="D31" s="46">
        <v>419.78999999999996</v>
      </c>
      <c r="E31" s="46">
        <v>354.37</v>
      </c>
      <c r="F31" s="46">
        <v>551.91999999999996</v>
      </c>
      <c r="G31" s="46">
        <v>342.43999999999994</v>
      </c>
      <c r="H31" s="46">
        <v>359.86</v>
      </c>
    </row>
    <row r="32" spans="1:8" x14ac:dyDescent="0.25">
      <c r="A32" t="s">
        <v>3</v>
      </c>
      <c r="B32" t="s">
        <v>4</v>
      </c>
      <c r="C32" s="46">
        <v>1200</v>
      </c>
      <c r="D32" s="46">
        <v>1200</v>
      </c>
      <c r="E32" s="46">
        <v>1200</v>
      </c>
      <c r="F32" s="46">
        <v>1200</v>
      </c>
      <c r="G32" s="46">
        <v>1200</v>
      </c>
      <c r="H32" s="46">
        <v>1200</v>
      </c>
    </row>
    <row r="33" spans="1:8" x14ac:dyDescent="0.25">
      <c r="A33" t="s">
        <v>0</v>
      </c>
      <c r="B33" t="s">
        <v>31</v>
      </c>
      <c r="C33" s="46">
        <v>160.62</v>
      </c>
      <c r="D33" s="46">
        <v>141.04999999999998</v>
      </c>
      <c r="E33" s="46">
        <v>320.16999999999996</v>
      </c>
      <c r="F33" s="46">
        <v>370.12</v>
      </c>
      <c r="G33" s="46">
        <v>285.79000000000002</v>
      </c>
      <c r="H33" s="46">
        <v>355.96000000000004</v>
      </c>
    </row>
    <row r="34" spans="1:8" x14ac:dyDescent="0.25">
      <c r="A34" t="s">
        <v>36</v>
      </c>
      <c r="C34" s="46">
        <v>2827.95</v>
      </c>
      <c r="D34" s="46">
        <v>2740.75</v>
      </c>
      <c r="E34" s="46">
        <v>2910.9</v>
      </c>
      <c r="F34" s="46">
        <v>2991.56</v>
      </c>
      <c r="G34" s="46">
        <v>2774.44</v>
      </c>
      <c r="H34" s="46">
        <v>2902.83</v>
      </c>
    </row>
  </sheetData>
  <mergeCells count="2">
    <mergeCell ref="N1:S1"/>
    <mergeCell ref="A1:E1"/>
  </mergeCells>
  <pageMargins left="0.511811024" right="0.511811024" top="0.78740157499999996" bottom="0.78740157499999996" header="0.31496062000000002" footer="0.31496062000000002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56BA-6E15-49E8-AE04-FB789C526CED}">
  <dimension ref="A1:G9"/>
  <sheetViews>
    <sheetView tabSelected="1" topLeftCell="C1" workbookViewId="0">
      <selection activeCell="D16" sqref="D16"/>
    </sheetView>
  </sheetViews>
  <sheetFormatPr defaultRowHeight="15" x14ac:dyDescent="0.25"/>
  <cols>
    <col min="1" max="1" width="99.42578125" bestFit="1" customWidth="1"/>
    <col min="3" max="3" width="124.140625" bestFit="1" customWidth="1"/>
    <col min="4" max="4" width="24.28515625" bestFit="1" customWidth="1"/>
    <col min="5" max="5" width="20.140625" bestFit="1" customWidth="1"/>
    <col min="6" max="6" width="22" bestFit="1" customWidth="1"/>
    <col min="7" max="7" width="16.140625" bestFit="1" customWidth="1"/>
  </cols>
  <sheetData>
    <row r="1" spans="1:7" ht="15.75" x14ac:dyDescent="0.25">
      <c r="A1" s="25" t="s">
        <v>43</v>
      </c>
      <c r="C1" s="47" t="s">
        <v>46</v>
      </c>
      <c r="D1" s="48" t="s">
        <v>48</v>
      </c>
      <c r="E1" s="48" t="s">
        <v>50</v>
      </c>
      <c r="F1" s="48" t="s">
        <v>52</v>
      </c>
      <c r="G1" s="49" t="s">
        <v>53</v>
      </c>
    </row>
    <row r="2" spans="1:7" ht="15.75" x14ac:dyDescent="0.25">
      <c r="A2" s="26" t="str">
        <f>"O gasto mensal médio foi de "&amp;TEXT(AVERAGE(Analises!B3:B8),"R$ #.##0,00")&amp;"."</f>
        <v>O gasto mensal médio foi de R$ 2.858,07.</v>
      </c>
      <c r="B2" s="27"/>
      <c r="C2" s="29" t="str">
        <f>"Gasto mensal em lazer de no máximo R$ "&amp;'Premissas e Logs'!K2</f>
        <v>Gasto mensal em lazer de no máximo R$ 350</v>
      </c>
      <c r="D2" s="50" t="s">
        <v>49</v>
      </c>
      <c r="E2" s="50" t="s">
        <v>51</v>
      </c>
      <c r="F2" s="50" t="s">
        <v>51</v>
      </c>
      <c r="G2" s="51">
        <f>AVERAGE(Analises!B20:B25)/'Premissas e Logs'!$H$2</f>
        <v>0.28548208333333336</v>
      </c>
    </row>
    <row r="3" spans="1:7" ht="15.75" x14ac:dyDescent="0.25">
      <c r="A3" s="26" t="str">
        <f>"O gasto total do período foi de: "&amp;TEXT(SUM(Analises!B3:B8),"R$ #.##0,00")&amp;"."</f>
        <v>O gasto total do período foi de: R$ 17.148,43.</v>
      </c>
      <c r="B3" s="27"/>
      <c r="C3" s="29" t="str">
        <f>"Gasto mensal em transporte de no máximo R$ "&amp;'Premissas e Logs'!K3</f>
        <v>Gasto mensal em transporte de no máximo R$ 200</v>
      </c>
      <c r="D3" s="50" t="s">
        <v>55</v>
      </c>
      <c r="E3" s="52" cm="1">
        <f t="array" ref="E3">SUMPRODUCT((Analises!D12:D17&gt;'Premissas e Logs'!K2)*(Analises!D12:D17-'Premissas e Logs'!K2))+SUMPRODUCT((Analises!F12:F17&gt;'Premissas e Logs'!K3)*(Analises!F12:F17-'Premissas e Logs'!K3))</f>
        <v>856.62999999999988</v>
      </c>
      <c r="F3" s="52">
        <f>E3/6</f>
        <v>142.77166666666665</v>
      </c>
      <c r="G3" s="51">
        <f>(AVERAGE(Analises!B20:B25)+F3)/'Premissas e Logs'!$H$2</f>
        <v>0.32117500000000004</v>
      </c>
    </row>
    <row r="4" spans="1:7" ht="15.75" x14ac:dyDescent="0.25">
      <c r="A4" s="26" t="str">
        <f>"O mês de maior gasto foi: "&amp;INDEX(Analises!A3:A8,MATCH(MAX(Analises!B3:B8),Analises!B3:B8,0))&amp;" e o valor foi de: "&amp;TEXT(MAX(Analises!B3:B8),"R$ #.##0,00")&amp;"."</f>
        <v>O mês de maior gasto foi: 04/2025 e o valor foi de: R$ 2.991,56.</v>
      </c>
      <c r="B4" s="27"/>
      <c r="C4" s="29"/>
      <c r="D4" s="50"/>
      <c r="E4" s="50"/>
      <c r="F4" s="50"/>
      <c r="G4" s="8"/>
    </row>
    <row r="5" spans="1:7" ht="15.75" x14ac:dyDescent="0.25">
      <c r="A5" s="26" t="str">
        <f>"Moradia representa "&amp;TEXT(Analises!E6/SUM(Analises!E3:E7),"0,0%")&amp;" do gasto total."</f>
        <v>Moradia representa 42,0% do gasto total.</v>
      </c>
      <c r="B5" s="27"/>
      <c r="C5" s="29" t="str" cm="1">
        <f t="array" ref="C5">"Se seguirmos os valores das metas, teríamos uma economia de: R$ "&amp;SUMPRODUCT((Analises!D12:D17&gt;'Premissas e Logs'!K2)*(Analises!D12:D17-'Premissas e Logs'!K2))&amp;" para lazer"</f>
        <v>Se seguirmos os valores das metas, teríamos uma economia de: R$ 324,59 para lazer</v>
      </c>
      <c r="D5" s="50"/>
      <c r="E5" s="50"/>
      <c r="F5" s="53" t="s">
        <v>54</v>
      </c>
      <c r="G5" s="54">
        <f>G3-G2</f>
        <v>3.5692916666666685E-2</v>
      </c>
    </row>
    <row r="6" spans="1:7" ht="15.75" x14ac:dyDescent="0.25">
      <c r="A6" s="26" t="str">
        <f>"A porcentagem total de gastos fixos foi de: "&amp;TEXT((Analises!E6+Analises!E4)/SUM(Analises!E3:E7),"0,0%")&amp;", então a economia precisa vir das categorias variáveis."</f>
        <v>A porcentagem total de gastos fixos foi de: 51,2%, então a economia precisa vir das categorias variáveis.</v>
      </c>
      <c r="B6" s="27"/>
      <c r="C6" s="29" t="str" cm="1">
        <f t="array" ref="C6">"Se seguirmos os valores das metas, teríamos uma economia de: R$ "&amp;SUMPRODUCT((Analises!F12:F17&gt;'Premissas e Logs'!K3)*(Analises!F12:F17-'Premissas e Logs'!K3))&amp;" para transporte"</f>
        <v>Se seguirmos os valores das metas, teríamos uma economia de: R$ 532,04 para transporte</v>
      </c>
      <c r="D6" s="50"/>
      <c r="E6" s="50"/>
      <c r="F6" s="50"/>
      <c r="G6" s="8"/>
    </row>
    <row r="7" spans="1:7" ht="15.75" x14ac:dyDescent="0.25">
      <c r="A7" s="26" t="str">
        <f>"Poupança média de "&amp;TEXT((AVERAGE(Analises!B20:B25)/'Premissas e Logs'!H2),"0,0%")&amp;", com pior mês em "&amp;_xlfn.XLOOKUP(MIN(Analises!B20:B25),Analises!B20:B25,Analises!A20:A25)&amp;" com "&amp;TEXT((MIN(Analises!B20:B25)/'Premissas e Logs'!H2),"0,0%")</f>
        <v>Poupança média de 28,5%, com pior mês em 04/2025 com 25,2%</v>
      </c>
      <c r="B7" s="27"/>
      <c r="C7" s="29" t="s">
        <v>47</v>
      </c>
      <c r="D7" s="50"/>
      <c r="E7" s="50"/>
      <c r="F7" s="50"/>
      <c r="G7" s="8"/>
    </row>
    <row r="8" spans="1:7" ht="15.75" x14ac:dyDescent="0.25">
      <c r="A8" s="26" t="str">
        <f>"A oscilação de valores do lazer foi de: "&amp;TEXT(MAX(Analises!D12:D17)-MIN(Analises!D12:D17),"R$ #.##0,00")</f>
        <v>A oscilação de valores do lazer foi de: R$ 209,48</v>
      </c>
      <c r="B8" s="27"/>
      <c r="C8" s="29"/>
      <c r="D8" s="50"/>
      <c r="E8" s="50"/>
      <c r="F8" s="50"/>
      <c r="G8" s="8"/>
    </row>
    <row r="9" spans="1:7" ht="15.75" x14ac:dyDescent="0.25">
      <c r="A9" s="28" t="str">
        <f>"A oscilação de valores do transporte foi de: "&amp;TEXT(MAX(Analises!F12:F17)-MIN(Analises!F12:F17),"R$ #.##0,00")</f>
        <v>A oscilação de valores do transporte foi de: R$ 229,07</v>
      </c>
      <c r="B9" s="27"/>
      <c r="C9" s="30"/>
      <c r="D9" s="20"/>
      <c r="E9" s="20"/>
      <c r="F9" s="20"/>
      <c r="G9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 Brutos</vt:lpstr>
      <vt:lpstr>Dados Tratados</vt:lpstr>
      <vt:lpstr>Premissas e Logs</vt:lpstr>
      <vt:lpstr>Analises</vt:lpstr>
      <vt:lpstr>Conclusoes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Mayck Gomes</cp:lastModifiedBy>
  <dcterms:created xsi:type="dcterms:W3CDTF">2026-10-07T12:48:12Z</dcterms:created>
  <dcterms:modified xsi:type="dcterms:W3CDTF">2026-10-07T19:52:30Z</dcterms:modified>
</cp:coreProperties>
</file>